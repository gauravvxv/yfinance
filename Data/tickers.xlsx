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ifty500" sheetId="2" r:id="rId5"/>
    <sheet state="visible" name="Sheet3" sheetId="3" r:id="rId6"/>
    <sheet state="visible" name="nifty50" sheetId="4" r:id="rId7"/>
  </sheets>
  <definedNames/>
  <calcPr/>
  <extLst>
    <ext uri="GoogleSheetsCustomDataVersion2">
      <go:sheetsCustomData xmlns:go="http://customooxmlschemas.google.com/" r:id="rId8" roundtripDataChecksum="bjc2e4ItSJRDDGSzvTae4mRi8yg4jrnBmG9DR0/SKew="/>
    </ext>
  </extLst>
</workbook>
</file>

<file path=xl/sharedStrings.xml><?xml version="1.0" encoding="utf-8"?>
<sst xmlns="http://schemas.openxmlformats.org/spreadsheetml/2006/main" count="1571" uniqueCount="766">
  <si>
    <t>Tickers</t>
  </si>
  <si>
    <t>ADANIENT.NS</t>
  </si>
  <si>
    <t>ADANIPORTS.NS</t>
  </si>
  <si>
    <t>APOLLOHOSP.NS</t>
  </si>
  <si>
    <t>ASIANPAINT.NS</t>
  </si>
  <si>
    <t>AXISBANK.NS</t>
  </si>
  <si>
    <t>BAJAJ-AUTO.NS</t>
  </si>
  <si>
    <t>BAJFINANCE.NS</t>
  </si>
  <si>
    <t>BAJAJFINSV.NS</t>
  </si>
  <si>
    <t>BPCL.NS</t>
  </si>
  <si>
    <t>BHARTIARTL.NS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</si>
  <si>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</si>
  <si>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</si>
  <si>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</si>
  <si>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</si>
  <si>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</si>
  <si>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</si>
  <si>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</si>
  <si>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</si>
  <si>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</si>
  <si>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</si>
  <si>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</si>
  <si>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</si>
  <si>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</si>
  <si>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</si>
  <si>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ITC.NS</t>
  </si>
  <si>
    <t>INDUSINDBK.NS</t>
  </si>
  <si>
    <t>INFY.NS</t>
  </si>
  <si>
    <t>JSWSTEEL.NS</t>
  </si>
  <si>
    <t>KOTAKBANK.NS</t>
  </si>
  <si>
    <t>LTIM.NS</t>
  </si>
  <si>
    <t>LT.NS</t>
  </si>
  <si>
    <t>M&amp;M.NS</t>
  </si>
  <si>
    <t>MARUTI.NS</t>
  </si>
  <si>
    <t>NTPC.NS</t>
  </si>
  <si>
    <t>NESTLEIND.NS</t>
  </si>
  <si>
    <t>ONGC.NS</t>
  </si>
  <si>
    <t>POWERGRID.NS</t>
  </si>
  <si>
    <t>RELIANCE.NS</t>
  </si>
  <si>
    <t>SBILIFE.NS</t>
  </si>
  <si>
    <t>SHRIRAMFIN.NS</t>
  </si>
  <si>
    <t>SBIN.NS</t>
  </si>
  <si>
    <t>SUNPHARMA.NS</t>
  </si>
  <si>
    <t>TCS.NS</t>
  </si>
  <si>
    <t>TATACONSUM.NS</t>
  </si>
  <si>
    <t>TATAMOTORS.NS</t>
  </si>
  <si>
    <t>TATASTEEL.NS</t>
  </si>
  <si>
    <t>TECHM.NS</t>
  </si>
  <si>
    <t>TITAN.NS</t>
  </si>
  <si>
    <t>ULTRACEMCO.NS</t>
  </si>
  <si>
    <t>WIPRO.NS</t>
  </si>
  <si>
    <t>NIFTYBEES.NS</t>
  </si>
  <si>
    <t>360ONE</t>
  </si>
  <si>
    <t>.NS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</si>
  <si>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</si>
  <si>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</si>
  <si>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</si>
  <si>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</si>
  <si>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</si>
  <si>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</si>
  <si>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</si>
  <si>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</si>
  <si>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</si>
  <si>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</si>
  <si>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</si>
  <si>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ADANIENT</t>
  </si>
  <si>
    <t>ADANIGREEN</t>
  </si>
  <si>
    <t>ADANIPORTS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</si>
  <si>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</si>
  <si>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</si>
  <si>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</si>
  <si>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</si>
  <si>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</si>
  <si>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</si>
  <si>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</si>
  <si>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</si>
  <si>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</si>
  <si>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</si>
  <si>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</si>
  <si>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</si>
  <si>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ALLCARGO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</si>
  <si>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</si>
  <si>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</si>
  <si>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</si>
  <si>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</si>
  <si>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</si>
  <si>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</si>
  <si>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</si>
  <si>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</si>
  <si>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</si>
  <si>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</si>
  <si>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</si>
  <si>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</si>
  <si>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</si>
  <si>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</si>
  <si>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</si>
  <si>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</si>
  <si>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</si>
  <si>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</si>
  <si>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</si>
  <si>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</si>
  <si>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</si>
  <si>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</si>
  <si>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</si>
  <si>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</si>
  <si>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</si>
  <si>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BSE</t>
  </si>
  <si>
    <t>BAJAJ-AUTO</t>
  </si>
  <si>
    <t>BAJFINANCE</t>
  </si>
  <si>
    <t>BAJAJFINSV</t>
  </si>
  <si>
    <t>BAJAJHLDNG</t>
  </si>
  <si>
    <t>BALAMINES</t>
  </si>
  <si>
    <t>BALKRISIND</t>
  </si>
  <si>
    <t>BALRAMCHIN</t>
  </si>
  <si>
    <t>BANDHANBNK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</si>
  <si>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</si>
  <si>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</si>
  <si>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</si>
  <si>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</si>
  <si>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</si>
  <si>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</si>
  <si>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</si>
  <si>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</si>
  <si>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</si>
  <si>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</si>
  <si>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</si>
  <si>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</si>
  <si>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</si>
  <si>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BIOCON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</si>
  <si>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</si>
  <si>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</si>
  <si>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</si>
  <si>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</si>
  <si>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</si>
  <si>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</si>
  <si>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</si>
  <si>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</si>
  <si>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</si>
  <si>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</si>
  <si>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</si>
  <si>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</si>
  <si>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</si>
  <si>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</si>
  <si>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</si>
  <si>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</si>
  <si>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</si>
  <si>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</si>
  <si>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CANBK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</si>
  <si>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</si>
  <si>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</si>
  <si>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</si>
  <si>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</si>
  <si>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</si>
  <si>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</si>
  <si>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</si>
  <si>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</si>
  <si>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</si>
  <si>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CENTURYTEX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</si>
  <si>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</si>
  <si>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</si>
  <si>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</si>
  <si>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</si>
  <si>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</si>
  <si>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</si>
  <si>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</si>
  <si>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</si>
  <si>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</si>
  <si>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</si>
  <si>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</si>
  <si>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</si>
  <si>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</si>
  <si>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</si>
  <si>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</si>
  <si>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</si>
  <si>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</si>
  <si>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</si>
  <si>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</si>
  <si>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</si>
  <si>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</si>
  <si>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</si>
  <si>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</si>
  <si>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</si>
  <si>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</si>
  <si>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</si>
  <si>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DABUR</t>
  </si>
  <si>
    <t>DALBHARAT</t>
  </si>
  <si>
    <t>DATAPATTNS</t>
  </si>
  <si>
    <t>DEEPAKFERT</t>
  </si>
  <si>
    <t>DEEPAKNTR</t>
  </si>
  <si>
    <t>DELHIVERY</t>
  </si>
  <si>
    <t>DEVYANI</t>
  </si>
  <si>
    <t>DIVISLAB</t>
  </si>
  <si>
    <t>DIXON</t>
  </si>
  <si>
    <t>LALPATHLAB</t>
  </si>
  <si>
    <t>DRREDDY</t>
  </si>
  <si>
    <t>DUMMYSANOF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</si>
  <si>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</si>
  <si>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</si>
  <si>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</si>
  <si>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</si>
  <si>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</si>
  <si>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</si>
  <si>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</si>
  <si>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</si>
  <si>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</si>
  <si>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</si>
  <si>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</si>
  <si>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</si>
  <si>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</si>
  <si>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</si>
  <si>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</si>
  <si>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</si>
  <si>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</si>
  <si>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</si>
  <si>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</si>
  <si>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</si>
  <si>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</si>
  <si>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</si>
  <si>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</si>
  <si>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</si>
  <si>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</si>
  <si>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</si>
  <si>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GMRINFRA</t>
  </si>
  <si>
    <t>GRSE</t>
  </si>
  <si>
    <t>GICRE</t>
  </si>
  <si>
    <t>GILLETTE</t>
  </si>
  <si>
    <t>GLAND</t>
  </si>
  <si>
    <t>GLAXO</t>
  </si>
  <si>
    <t>GLS</t>
  </si>
  <si>
    <t>GLENMARK</t>
  </si>
  <si>
    <t>MEDANTA</t>
  </si>
  <si>
    <t>GPIL</t>
  </si>
  <si>
    <t>GODFRYPHLP</t>
  </si>
  <si>
    <t>GODREJCP</t>
  </si>
  <si>
    <t>GODREJIND</t>
  </si>
  <si>
    <t>GODREJPROP</t>
  </si>
  <si>
    <t>GRANULES</t>
  </si>
  <si>
    <t>GRAPHITE</t>
  </si>
  <si>
    <t>GRASIM</t>
  </si>
  <si>
    <t>GESHIP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</si>
  <si>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</si>
  <si>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</si>
  <si>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</si>
  <si>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</si>
  <si>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</si>
  <si>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</si>
  <si>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</si>
  <si>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</si>
  <si>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</si>
  <si>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</si>
  <si>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HBLPOWER</t>
  </si>
  <si>
    <t>HCLTECH</t>
  </si>
  <si>
    <t>HDFCAMC</t>
  </si>
  <si>
    <t>HDFCBANK</t>
  </si>
  <si>
    <t>HDFCLIFE</t>
  </si>
  <si>
    <t>HFCL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</si>
  <si>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</si>
  <si>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</si>
  <si>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</si>
  <si>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</si>
  <si>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</si>
  <si>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</si>
  <si>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</si>
  <si>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</si>
  <si>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</si>
  <si>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</si>
  <si>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</si>
  <si>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</si>
  <si>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</si>
  <si>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</si>
  <si>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</si>
  <si>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HUDCO</t>
  </si>
  <si>
    <t>ICICIBANK</t>
  </si>
  <si>
    <t>ICICIGI</t>
  </si>
  <si>
    <t>ICICIPRULI</t>
  </si>
  <si>
    <t>ISEC</t>
  </si>
  <si>
    <t>IDBI</t>
  </si>
  <si>
    <t>IDFCFIRSTB</t>
  </si>
  <si>
    <t>IDFC</t>
  </si>
  <si>
    <t>IIFL</t>
  </si>
  <si>
    <t>IRB</t>
  </si>
  <si>
    <t>IRCON</t>
  </si>
  <si>
    <t>ITC</t>
  </si>
  <si>
    <t>ITI</t>
  </si>
  <si>
    <t>INDIACEM</t>
  </si>
  <si>
    <t>IBULHSGFIN</t>
  </si>
  <si>
    <t>INDIAMART</t>
  </si>
  <si>
    <t>INDIANB</t>
  </si>
  <si>
    <t>IEX</t>
  </si>
  <si>
    <t>INDHOTEL</t>
  </si>
  <si>
    <t>IOC</t>
  </si>
  <si>
    <t>IOB</t>
  </si>
  <si>
    <t>IRCTC</t>
  </si>
  <si>
    <t>IRFC</t>
  </si>
  <si>
    <t>INDIGOPNTS</t>
  </si>
  <si>
    <t>IGL</t>
  </si>
  <si>
    <t>INDUSTOWER</t>
  </si>
  <si>
    <t>INDUSINDBK</t>
  </si>
  <si>
    <t>NAUKRI</t>
  </si>
  <si>
    <t>INFY</t>
  </si>
  <si>
    <t>INOXWIND</t>
  </si>
  <si>
    <t>INTELLECT</t>
  </si>
  <si>
    <t>INDIGO</t>
  </si>
  <si>
    <t>IPCALAB</t>
  </si>
  <si>
    <t>JBCHEPHARM</t>
  </si>
  <si>
    <t>JKCEMENT</t>
  </si>
  <si>
    <t>JBMA</t>
  </si>
  <si>
    <t>JKLAKSHMI</t>
  </si>
  <si>
    <t>JKPAPER</t>
  </si>
  <si>
    <t>JMFINANCIL</t>
  </si>
  <si>
    <t>JSWENERGY</t>
  </si>
  <si>
    <t>JSWINFRA</t>
  </si>
  <si>
    <t>JSWSTEEL</t>
  </si>
  <si>
    <t>JAIBALAJI</t>
  </si>
  <si>
    <t>J&amp;KBANK</t>
  </si>
  <si>
    <t>JINDALSAW</t>
  </si>
  <si>
    <t>JSL</t>
  </si>
  <si>
    <t>JINDALSTEL</t>
  </si>
  <si>
    <t>JIOFIN</t>
  </si>
  <si>
    <t>JUBLFOOD</t>
  </si>
  <si>
    <t>JUBLINGREA</t>
  </si>
  <si>
    <t>JUBLPHARMA</t>
  </si>
  <si>
    <t>JWL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</si>
  <si>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</si>
  <si>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</si>
  <si>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</si>
  <si>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</si>
  <si>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</si>
  <si>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</si>
  <si>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</si>
  <si>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</si>
  <si>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</si>
  <si>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KPIL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</si>
  <si>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</si>
  <si>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</si>
  <si>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</si>
  <si>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</si>
  <si>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</si>
  <si>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</si>
  <si>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</si>
  <si>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</si>
  <si>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</si>
  <si>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</si>
  <si>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LICHSGFIN</t>
  </si>
  <si>
    <t>LTIM</t>
  </si>
  <si>
    <t>LT</t>
  </si>
  <si>
    <t>LATENTVIEW</t>
  </si>
  <si>
    <t>LAURUSLABS</t>
  </si>
  <si>
    <t>LXCHEM</t>
  </si>
  <si>
    <t>LEMONTREE</t>
  </si>
  <si>
    <t>LICI</t>
  </si>
  <si>
    <t>LINDEINDIA</t>
  </si>
  <si>
    <t>LLOYDSME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</si>
  <si>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</si>
  <si>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</si>
  <si>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</si>
  <si>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</si>
  <si>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</si>
  <si>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</si>
  <si>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</si>
  <si>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</si>
  <si>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</si>
  <si>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</si>
  <si>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</si>
  <si>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MANAPPURAM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</si>
  <si>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</si>
  <si>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</si>
  <si>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</si>
  <si>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</si>
  <si>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</si>
  <si>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</si>
  <si>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</si>
  <si>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</si>
  <si>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</si>
  <si>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</si>
  <si>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</si>
  <si>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</si>
  <si>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</si>
  <si>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</si>
  <si>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</si>
  <si>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</si>
  <si>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</si>
  <si>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NATCOPHARM</t>
  </si>
  <si>
    <t>NBCC</t>
  </si>
  <si>
    <t>NCC</t>
  </si>
  <si>
    <t>NHPC</t>
  </si>
  <si>
    <t>NLCINDIA</t>
  </si>
  <si>
    <t>NMDC</t>
  </si>
  <si>
    <t>NSLNISP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</si>
  <si>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</si>
  <si>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</si>
  <si>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</si>
  <si>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</si>
  <si>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</si>
  <si>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</si>
  <si>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</si>
  <si>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</si>
  <si>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</si>
  <si>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</si>
  <si>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</si>
  <si>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</si>
  <si>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OLECTRA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</si>
  <si>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</si>
  <si>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</si>
  <si>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</si>
  <si>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</si>
  <si>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</si>
  <si>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</si>
  <si>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</si>
  <si>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</si>
  <si>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</si>
  <si>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</si>
  <si>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</si>
  <si>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</si>
  <si>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</si>
  <si>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</si>
  <si>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</si>
  <si>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PPLPHARMA</t>
  </si>
  <si>
    <t>POLYMED</t>
  </si>
  <si>
    <t>POLYCAB</t>
  </si>
  <si>
    <t>POONAWALLA</t>
  </si>
  <si>
    <t>PFC</t>
  </si>
  <si>
    <t>POWERGRID</t>
  </si>
  <si>
    <t>PRAJIND</t>
  </si>
  <si>
    <t>PRESTIGE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</si>
  <si>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</si>
  <si>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</si>
  <si>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</si>
  <si>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</si>
  <si>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</si>
  <si>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</si>
  <si>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</si>
  <si>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</si>
  <si>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</si>
  <si>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</si>
  <si>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</si>
  <si>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</si>
  <si>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</si>
  <si>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</si>
  <si>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</si>
  <si>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</si>
  <si>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</si>
  <si>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</si>
  <si>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</si>
  <si>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</si>
  <si>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</si>
  <si>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</si>
  <si>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</si>
  <si>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</si>
  <si>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</si>
  <si>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</si>
  <si>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</si>
  <si>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</si>
  <si>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</si>
  <si>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</si>
  <si>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</si>
  <si>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</si>
  <si>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</si>
  <si>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</si>
  <si>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</si>
  <si>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</si>
  <si>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SCHNEIDER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</si>
  <si>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</si>
  <si>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</si>
  <si>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</si>
  <si>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</si>
  <si>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</si>
  <si>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</si>
  <si>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</si>
  <si>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</si>
  <si>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</si>
  <si>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</si>
  <si>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</si>
  <si>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</si>
  <si>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</si>
  <si>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SWSOLAR</t>
  </si>
  <si>
    <t>STLTECH</t>
  </si>
  <si>
    <t>SUMICHEM</t>
  </si>
  <si>
    <t>SPARC</t>
  </si>
  <si>
    <t>SUNPHARMA</t>
  </si>
  <si>
    <t>SUNTV</t>
  </si>
  <si>
    <t>SUNDARMFIN</t>
  </si>
  <si>
    <t>SUNDRMFAST</t>
  </si>
  <si>
    <t>SUNTECK</t>
  </si>
  <si>
    <t>SUPREMEIND</t>
  </si>
  <si>
    <t>SUVENPHAR</t>
  </si>
  <si>
    <t>SUZLON</t>
  </si>
  <si>
    <t>SWANENERGY</t>
  </si>
  <si>
    <t>SYNGENE</t>
  </si>
  <si>
    <t>SYRMA</t>
  </si>
  <si>
    <t>TV18BRDCST</t>
  </si>
  <si>
    <t>TVSMOTOR</t>
  </si>
  <si>
    <t>TVSSCS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</si>
  <si>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</si>
  <si>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</si>
  <si>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</si>
  <si>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</si>
  <si>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</si>
  <si>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</si>
  <si>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</si>
  <si>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</si>
  <si>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TATAMTRDVR</t>
  </si>
  <si>
    <t>TATAMOTORS</t>
  </si>
  <si>
    <t>TATAPOWER</t>
  </si>
  <si>
    <t>TATASTEEL</t>
  </si>
  <si>
    <t>TATATECH</t>
  </si>
  <si>
    <t>TTML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</si>
  <si>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</si>
  <si>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</si>
  <si>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</si>
  <si>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</si>
  <si>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</si>
  <si>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</si>
  <si>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</si>
  <si>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</si>
  <si>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</si>
  <si>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</si>
  <si>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</si>
  <si>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</si>
  <si>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</si>
  <si>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</si>
  <si>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</si>
  <si>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</si>
  <si>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</si>
  <si>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</si>
  <si>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</si>
  <si>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</si>
  <si>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</si>
  <si>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</si>
  <si>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</si>
  <si>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</si>
  <si>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USHAMART</t>
  </si>
  <si>
    <t>VGUARD</t>
  </si>
  <si>
    <t>VIPIND</t>
  </si>
  <si>
    <t>ARM</t>
  </si>
  <si>
    <t>VAIBHAVGBL</t>
  </si>
  <si>
    <t>LIN</t>
  </si>
  <si>
    <t>VTL</t>
  </si>
  <si>
    <t>AZN</t>
  </si>
  <si>
    <t>VARROC</t>
  </si>
  <si>
    <t>BKR</t>
  </si>
  <si>
    <t>VBL</t>
  </si>
  <si>
    <t>AVGO</t>
  </si>
  <si>
    <t>MANYAVAR</t>
  </si>
  <si>
    <t>BIIB</t>
  </si>
  <si>
    <t>VEDL</t>
  </si>
  <si>
    <t>BKNG</t>
  </si>
  <si>
    <t>VIJAYA</t>
  </si>
  <si>
    <t>CDNS</t>
  </si>
  <si>
    <t>IDEA</t>
  </si>
  <si>
    <t>ADBE</t>
  </si>
  <si>
    <t>VOLTAS</t>
  </si>
  <si>
    <t>CHTR</t>
  </si>
  <si>
    <t>WELCORP</t>
  </si>
  <si>
    <t>CPRT</t>
  </si>
  <si>
    <t>WELSPUNLIV</t>
  </si>
  <si>
    <t>CSGP</t>
  </si>
  <si>
    <t>WESTLIFE</t>
  </si>
  <si>
    <t>CRWD</t>
  </si>
  <si>
    <t>WHIRLPOOL</t>
  </si>
  <si>
    <t>CTAS</t>
  </si>
  <si>
    <t>WIPRO</t>
  </si>
  <si>
    <t>CSCO</t>
  </si>
  <si>
    <t>YESBANK</t>
  </si>
  <si>
    <t>CMCSA</t>
  </si>
  <si>
    <t>ZFCVINDIA</t>
  </si>
  <si>
    <t>COST</t>
  </si>
  <si>
    <t>ZEEL</t>
  </si>
  <si>
    <t>CSX</t>
  </si>
  <si>
    <t>ZENSARTECH</t>
  </si>
  <si>
    <t>CTSH</t>
  </si>
  <si>
    <t>ZOMATO</t>
  </si>
  <si>
    <t>DDOG</t>
  </si>
  <si>
    <t>ZYDUSLIFE</t>
  </si>
  <si>
    <t>DXCM</t>
  </si>
  <si>
    <t>ECLERX</t>
  </si>
  <si>
    <t>FANG</t>
  </si>
  <si>
    <t>DLTR</t>
  </si>
  <si>
    <t>EA</t>
  </si>
  <si>
    <t>ON</t>
  </si>
  <si>
    <t>EXC</t>
  </si>
  <si>
    <t>TTD</t>
  </si>
  <si>
    <t>FAST</t>
  </si>
  <si>
    <t>GFS</t>
  </si>
  <si>
    <t>META</t>
  </si>
  <si>
    <t>FI</t>
  </si>
  <si>
    <t>FTNT</t>
  </si>
  <si>
    <t>GILD</t>
  </si>
  <si>
    <t>GOOG</t>
  </si>
  <si>
    <t>GOOGL</t>
  </si>
  <si>
    <t>HON</t>
  </si>
  <si>
    <t>ILMN</t>
  </si>
  <si>
    <t>INTC</t>
  </si>
  <si>
    <t>INTU</t>
  </si>
  <si>
    <t>ISRG</t>
  </si>
  <si>
    <t>MRVL</t>
  </si>
  <si>
    <t>IDXX</t>
  </si>
  <si>
    <t>KDP</t>
  </si>
  <si>
    <t>KLAC</t>
  </si>
  <si>
    <t>KHC</t>
  </si>
  <si>
    <t>LRCX</t>
  </si>
  <si>
    <t>LULU</t>
  </si>
  <si>
    <t>MELI</t>
  </si>
  <si>
    <t>MAR</t>
  </si>
  <si>
    <t>MCHP</t>
  </si>
  <si>
    <t>MDLZ</t>
  </si>
  <si>
    <t>MRNA</t>
  </si>
  <si>
    <t>MNST</t>
  </si>
  <si>
    <t>MSFT</t>
  </si>
  <si>
    <t>MU</t>
  </si>
  <si>
    <t>NFLX</t>
  </si>
  <si>
    <t>GRAL</t>
  </si>
  <si>
    <t>NVDA</t>
  </si>
  <si>
    <t>NXPI</t>
  </si>
  <si>
    <t>ODFL</t>
  </si>
  <si>
    <t>ORLY</t>
  </si>
  <si>
    <t>PCAR</t>
  </si>
  <si>
    <t>PANW</t>
  </si>
  <si>
    <t>PAYX</t>
  </si>
  <si>
    <t>PDD</t>
  </si>
  <si>
    <t>PYPL</t>
  </si>
  <si>
    <t>PEP</t>
  </si>
  <si>
    <t>QCOM</t>
  </si>
  <si>
    <t>REGN</t>
  </si>
  <si>
    <t>ROST</t>
  </si>
  <si>
    <t>SBUX</t>
  </si>
  <si>
    <t>SNPS</t>
  </si>
  <si>
    <t>TSLA</t>
  </si>
  <si>
    <t>TXN</t>
  </si>
  <si>
    <t>TMUS</t>
  </si>
  <si>
    <t>VRSK</t>
  </si>
  <si>
    <t>VRTX</t>
  </si>
  <si>
    <t>WBA</t>
  </si>
  <si>
    <t>WBD</t>
  </si>
  <si>
    <t>WDAY</t>
  </si>
  <si>
    <t>XEL</t>
  </si>
  <si>
    <t>ZS</t>
  </si>
  <si>
    <t>ADP</t>
  </si>
  <si>
    <t>ABNB</t>
  </si>
  <si>
    <t>AMD</t>
  </si>
  <si>
    <t>CEG</t>
  </si>
  <si>
    <t>AMZN</t>
  </si>
  <si>
    <t>AMGN</t>
  </si>
  <si>
    <t>AEP</t>
  </si>
  <si>
    <t>CDW</t>
  </si>
  <si>
    <t>CCEP</t>
  </si>
  <si>
    <t>ADI</t>
  </si>
  <si>
    <t>MDB</t>
  </si>
  <si>
    <t>DASH</t>
  </si>
  <si>
    <t>ROP</t>
  </si>
  <si>
    <t>ANSS</t>
  </si>
  <si>
    <t>AAPL</t>
  </si>
  <si>
    <t>AMAT</t>
  </si>
  <si>
    <t>GEHC</t>
  </si>
  <si>
    <t>ASML</t>
  </si>
  <si>
    <t>TEAM</t>
  </si>
  <si>
    <t>ADSK</t>
  </si>
  <si>
    <t>SYMBOL</t>
  </si>
  <si>
    <t>NAME</t>
  </si>
  <si>
    <t>PRICE</t>
  </si>
  <si>
    <t>CHANGE</t>
  </si>
  <si>
    <t>%CHANGE</t>
  </si>
  <si>
    <t>Arm Holdings PLC</t>
  </si>
  <si>
    <t>Linde PLC</t>
  </si>
  <si>
    <t>AstraZeneca PLC</t>
  </si>
  <si>
    <t>Baker Hughes Co</t>
  </si>
  <si>
    <t>Broadcom Inc</t>
  </si>
  <si>
    <t>Biogen Inc</t>
  </si>
  <si>
    <t>Booking Holdings Inc</t>
  </si>
  <si>
    <t>Cadence Design Systems Inc</t>
  </si>
  <si>
    <t>Adobe Inc.</t>
  </si>
  <si>
    <t>Charter Communications Inc</t>
  </si>
  <si>
    <t>Copart Inc</t>
  </si>
  <si>
    <t>CoStar Group Inc</t>
  </si>
  <si>
    <t>CrowdStrike Holdings Inc</t>
  </si>
  <si>
    <t>Cintas Corp</t>
  </si>
  <si>
    <t>Cisco Systems Inc</t>
  </si>
  <si>
    <t>Comcast Corp</t>
  </si>
  <si>
    <t>Costco Wholesale Corp</t>
  </si>
  <si>
    <t>CSX Corp</t>
  </si>
  <si>
    <t>Cognizant Technology Solutions Corp</t>
  </si>
  <si>
    <t>Datadog Inc</t>
  </si>
  <si>
    <t>Dexcom Inc</t>
  </si>
  <si>
    <t>Diamondback Energy Inc</t>
  </si>
  <si>
    <t>Dollar Tree Inc</t>
  </si>
  <si>
    <t>Electronic Arts</t>
  </si>
  <si>
    <t>ON Semiconductor Corp</t>
  </si>
  <si>
    <t>Exelon Corp</t>
  </si>
  <si>
    <t>Trade Desk Inc</t>
  </si>
  <si>
    <t>Fastenal Co</t>
  </si>
  <si>
    <t>GlobalFoundries Inc</t>
  </si>
  <si>
    <t>Meta Platforms Inc</t>
  </si>
  <si>
    <t>Fiserv Inc</t>
  </si>
  <si>
    <t>Fortinet Inc</t>
  </si>
  <si>
    <t>Gilead Sciences Inc</t>
  </si>
  <si>
    <t>Alphabet Class C</t>
  </si>
  <si>
    <t>Alphabet Class A</t>
  </si>
  <si>
    <t>Honeywell International Inc</t>
  </si>
  <si>
    <t>Illumina Inc</t>
  </si>
  <si>
    <t>Intel Corp</t>
  </si>
  <si>
    <t>Intuit Inc</t>
  </si>
  <si>
    <t>Intuitive Surgical Inc</t>
  </si>
  <si>
    <t>Marvell Technology Inc</t>
  </si>
  <si>
    <t>IDEXX Laboratories Inc</t>
  </si>
  <si>
    <t>Keurig Dr Pepper Inc</t>
  </si>
  <si>
    <t>KLA Corp</t>
  </si>
  <si>
    <t>Kraft Heinz Co</t>
  </si>
  <si>
    <t>Lam Research Corp</t>
  </si>
  <si>
    <t>Lululemon Athletica Inc</t>
  </si>
  <si>
    <t>MercadoLibre Inc</t>
  </si>
  <si>
    <t>Marriott International Inc</t>
  </si>
  <si>
    <t>Microchip Technology Inc</t>
  </si>
  <si>
    <t>Mondelez International Inc</t>
  </si>
  <si>
    <t>Moderna Inc</t>
  </si>
  <si>
    <t>Monster Beverage Corp</t>
  </si>
  <si>
    <t>Microsoft Corp</t>
  </si>
  <si>
    <t>Micron Technology Inc</t>
  </si>
  <si>
    <t>Netflix Inc</t>
  </si>
  <si>
    <t>Grail Inc</t>
  </si>
  <si>
    <t>NVIDIA Corp</t>
  </si>
  <si>
    <t>NXP Semiconductors NV</t>
  </si>
  <si>
    <t>Old Dominion Freight Line Inc</t>
  </si>
  <si>
    <t>O’Reilly Automotive Inc</t>
  </si>
  <si>
    <t>Paccar Inc</t>
  </si>
  <si>
    <t>Palo Alto Networks Inc</t>
  </si>
  <si>
    <t>Paychex Inc</t>
  </si>
  <si>
    <t>PDD Holdings Inc</t>
  </si>
  <si>
    <t>PayPal Holdings Inc</t>
  </si>
  <si>
    <t>PepsiCo Inc.</t>
  </si>
  <si>
    <t>Qualcomm Inc</t>
  </si>
  <si>
    <t>Regeneron Pharmaceuticals Inc</t>
  </si>
  <si>
    <t>Ross Stores Inc</t>
  </si>
  <si>
    <t>Starbucks Corp</t>
  </si>
  <si>
    <t>Synopsys Inc</t>
  </si>
  <si>
    <t>Tesla Inc</t>
  </si>
  <si>
    <t>Texas Instruments Inc</t>
  </si>
  <si>
    <t>T-Mobile US Inc</t>
  </si>
  <si>
    <t>Verisk Analytics Inc</t>
  </si>
  <si>
    <t>Vertex Pharmaceuticals Inc</t>
  </si>
  <si>
    <t>Walgreens Boots Alliance Inc</t>
  </si>
  <si>
    <t>Warner Bros Discovery Inc</t>
  </si>
  <si>
    <t>Workday Inc</t>
  </si>
  <si>
    <t>Xcel Energy Inc</t>
  </si>
  <si>
    <t>Zscaler Inc</t>
  </si>
  <si>
    <t>Automatic Data Processing Inc</t>
  </si>
  <si>
    <t>Airbnb Inc</t>
  </si>
  <si>
    <t>Advanced Micro Devices Inc</t>
  </si>
  <si>
    <t>Constellation Energy Corp</t>
  </si>
  <si>
    <t>Amazon.com Inc</t>
  </si>
  <si>
    <t>Amgen Inc</t>
  </si>
  <si>
    <t>American Electric Power Company Inc</t>
  </si>
  <si>
    <t>CDW Corp</t>
  </si>
  <si>
    <t>Coca-Cola Europacific Partners PLC</t>
  </si>
  <si>
    <t>Analog Devices Inc</t>
  </si>
  <si>
    <t>MongoDB Inc</t>
  </si>
  <si>
    <t>DoorDash Inc</t>
  </si>
  <si>
    <t>Roper Technologies Inc</t>
  </si>
  <si>
    <t>ANSYS Inc</t>
  </si>
  <si>
    <t>Apple Inc</t>
  </si>
  <si>
    <t>Applied Materials Inc</t>
  </si>
  <si>
    <t>GE Healthcare Technologies Inc</t>
  </si>
  <si>
    <t>ASML Holding NV</t>
  </si>
  <si>
    <t>Atlassian Corp</t>
  </si>
  <si>
    <t>Autodesk Inc</t>
  </si>
  <si>
    <t>QQQ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</si>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</sst>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u/>
      <sz val="9.0"/>
      <color rgb="FF4A4A4A"/>
    </font>
    <font>
      <b/>
      <u/>
      <sz val="9.0"/>
      <color rgb="FF4A4A4A"/>
    </font>
    <font>
      <sz val="9.0"/>
      <color rgb="FF747474"/>
      <name val="Calibri"/>
      <scheme val="minor"/>
    </font>
    <font>
      <b/>
      <sz val="9.0"/>
      <color theme="1"/>
      <name val="Calibri"/>
      <scheme val="minor"/>
    </font>
    <font>
      <sz val="9.0"/>
      <color rgb="FF171717"/>
      <name val="Calibri"/>
      <scheme val="minor"/>
    </font>
    <font>
      <sz val="9.0"/>
      <color rgb="FF008456"/>
      <name val="Calibri"/>
      <scheme val="minor"/>
    </font>
    <font>
      <sz val="9.0"/>
      <color rgb="FFCE2B2B"/>
      <name val="Calibri"/>
      <scheme val="minor"/>
    </font>
    <font>
      <sz val="12.0"/>
      <color rgb="FF000000"/>
      <name val="&quot;Proxima Nova&quot;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2" fontId="5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 readingOrder="0" shrinkToFit="0" wrapText="0"/>
    </xf>
    <xf borderId="0" fillId="0" fontId="9" numFmtId="0" xfId="0" applyAlignment="1" applyFont="1">
      <alignment horizontal="right" shrinkToFit="0" wrapText="0"/>
    </xf>
    <xf borderId="0" fillId="2" fontId="7" numFmtId="0" xfId="0" applyAlignment="1" applyFont="1">
      <alignment horizontal="left" readingOrder="0" shrinkToFit="0" wrapText="0"/>
    </xf>
    <xf borderId="0" fillId="2" fontId="8" numFmtId="0" xfId="0" applyAlignment="1" applyFont="1">
      <alignment horizontal="right" readingOrder="0" shrinkToFit="0" wrapText="0"/>
    </xf>
    <xf borderId="0" fillId="2" fontId="10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right" readingOrder="0" shrinkToFit="0" wrapText="0"/>
    </xf>
    <xf borderId="0" fillId="0" fontId="8" numFmtId="4" xfId="0" applyAlignment="1" applyFont="1" applyNumberFormat="1">
      <alignment horizontal="right" readingOrder="0" shrinkToFit="0" wrapText="0"/>
    </xf>
    <xf borderId="0" fillId="2" fontId="9" numFmtId="0" xfId="0" applyAlignment="1" applyFont="1">
      <alignment horizontal="right" shrinkToFit="0" wrapText="0"/>
    </xf>
    <xf borderId="0" fillId="2" fontId="8" numFmtId="4" xfId="0" applyAlignment="1" applyFont="1" applyNumberFormat="1">
      <alignment horizontal="right" readingOrder="0" shrinkToFit="0" wrapText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nbc.com/quotes/ISRG" TargetMode="External"/><Relationship Id="rId42" Type="http://schemas.openxmlformats.org/officeDocument/2006/relationships/hyperlink" Target="https://www.cnbc.com/quotes/IDXX" TargetMode="External"/><Relationship Id="rId41" Type="http://schemas.openxmlformats.org/officeDocument/2006/relationships/hyperlink" Target="https://www.cnbc.com/quotes/MRVL" TargetMode="External"/><Relationship Id="rId44" Type="http://schemas.openxmlformats.org/officeDocument/2006/relationships/hyperlink" Target="https://www.cnbc.com/quotes/KLAC" TargetMode="External"/><Relationship Id="rId43" Type="http://schemas.openxmlformats.org/officeDocument/2006/relationships/hyperlink" Target="https://www.cnbc.com/quotes/KDP" TargetMode="External"/><Relationship Id="rId46" Type="http://schemas.openxmlformats.org/officeDocument/2006/relationships/hyperlink" Target="https://www.cnbc.com/quotes/LRCX" TargetMode="External"/><Relationship Id="rId45" Type="http://schemas.openxmlformats.org/officeDocument/2006/relationships/hyperlink" Target="https://www.cnbc.com/quotes/KHC" TargetMode="External"/><Relationship Id="rId48" Type="http://schemas.openxmlformats.org/officeDocument/2006/relationships/hyperlink" Target="https://www.cnbc.com/quotes/MELI" TargetMode="External"/><Relationship Id="rId47" Type="http://schemas.openxmlformats.org/officeDocument/2006/relationships/hyperlink" Target="https://www.cnbc.com/quotes/LULU" TargetMode="External"/><Relationship Id="rId49" Type="http://schemas.openxmlformats.org/officeDocument/2006/relationships/hyperlink" Target="https://www.cnbc.com/quotes/MAR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www.cnbc.com/quotes/ADSK" TargetMode="External"/><Relationship Id="rId101" Type="http://schemas.openxmlformats.org/officeDocument/2006/relationships/hyperlink" Target="https://www.cnbc.com/quotes/TEAM" TargetMode="External"/><Relationship Id="rId100" Type="http://schemas.openxmlformats.org/officeDocument/2006/relationships/hyperlink" Target="https://www.cnbc.com/quotes/ASML" TargetMode="External"/><Relationship Id="rId31" Type="http://schemas.openxmlformats.org/officeDocument/2006/relationships/hyperlink" Target="https://www.cnbc.com/quotes/FI" TargetMode="External"/><Relationship Id="rId30" Type="http://schemas.openxmlformats.org/officeDocument/2006/relationships/hyperlink" Target="https://www.cnbc.com/quotes/META" TargetMode="External"/><Relationship Id="rId33" Type="http://schemas.openxmlformats.org/officeDocument/2006/relationships/hyperlink" Target="https://www.cnbc.com/quotes/GILD" TargetMode="External"/><Relationship Id="rId32" Type="http://schemas.openxmlformats.org/officeDocument/2006/relationships/hyperlink" Target="https://www.cnbc.com/quotes/FTNT" TargetMode="External"/><Relationship Id="rId35" Type="http://schemas.openxmlformats.org/officeDocument/2006/relationships/hyperlink" Target="https://www.cnbc.com/quotes/GOOGL" TargetMode="External"/><Relationship Id="rId34" Type="http://schemas.openxmlformats.org/officeDocument/2006/relationships/hyperlink" Target="https://www.cnbc.com/quotes/GOOG" TargetMode="External"/><Relationship Id="rId37" Type="http://schemas.openxmlformats.org/officeDocument/2006/relationships/hyperlink" Target="https://www.cnbc.com/quotes/ILMN" TargetMode="External"/><Relationship Id="rId36" Type="http://schemas.openxmlformats.org/officeDocument/2006/relationships/hyperlink" Target="https://www.cnbc.com/quotes/HON" TargetMode="External"/><Relationship Id="rId39" Type="http://schemas.openxmlformats.org/officeDocument/2006/relationships/hyperlink" Target="https://www.cnbc.com/quotes/INTU" TargetMode="External"/><Relationship Id="rId38" Type="http://schemas.openxmlformats.org/officeDocument/2006/relationships/hyperlink" Target="https://www.cnbc.com/quotes/INTC" TargetMode="External"/><Relationship Id="rId20" Type="http://schemas.openxmlformats.org/officeDocument/2006/relationships/hyperlink" Target="https://www.cnbc.com/quotes/DDOG" TargetMode="External"/><Relationship Id="rId22" Type="http://schemas.openxmlformats.org/officeDocument/2006/relationships/hyperlink" Target="https://www.cnbc.com/quotes/FANG" TargetMode="External"/><Relationship Id="rId21" Type="http://schemas.openxmlformats.org/officeDocument/2006/relationships/hyperlink" Target="https://www.cnbc.com/quotes/DXCM" TargetMode="External"/><Relationship Id="rId24" Type="http://schemas.openxmlformats.org/officeDocument/2006/relationships/hyperlink" Target="https://www.cnbc.com/quotes/EA" TargetMode="External"/><Relationship Id="rId23" Type="http://schemas.openxmlformats.org/officeDocument/2006/relationships/hyperlink" Target="https://www.cnbc.com/quotes/DLTR" TargetMode="External"/><Relationship Id="rId26" Type="http://schemas.openxmlformats.org/officeDocument/2006/relationships/hyperlink" Target="https://www.cnbc.com/quotes/EXC" TargetMode="External"/><Relationship Id="rId25" Type="http://schemas.openxmlformats.org/officeDocument/2006/relationships/hyperlink" Target="https://www.cnbc.com/quotes/ON" TargetMode="External"/><Relationship Id="rId28" Type="http://schemas.openxmlformats.org/officeDocument/2006/relationships/hyperlink" Target="https://www.cnbc.com/quotes/FAST" TargetMode="External"/><Relationship Id="rId27" Type="http://schemas.openxmlformats.org/officeDocument/2006/relationships/hyperlink" Target="https://www.cnbc.com/quotes/TTD" TargetMode="External"/><Relationship Id="rId29" Type="http://schemas.openxmlformats.org/officeDocument/2006/relationships/hyperlink" Target="https://www.cnbc.com/quotes/GFS" TargetMode="External"/><Relationship Id="rId95" Type="http://schemas.openxmlformats.org/officeDocument/2006/relationships/hyperlink" Target="https://www.cnbc.com/quotes/ROP" TargetMode="External"/><Relationship Id="rId94" Type="http://schemas.openxmlformats.org/officeDocument/2006/relationships/hyperlink" Target="https://www.cnbc.com/quotes/DASH" TargetMode="External"/><Relationship Id="rId97" Type="http://schemas.openxmlformats.org/officeDocument/2006/relationships/hyperlink" Target="https://www.cnbc.com/quotes/AAPL" TargetMode="External"/><Relationship Id="rId96" Type="http://schemas.openxmlformats.org/officeDocument/2006/relationships/hyperlink" Target="https://www.cnbc.com/quotes/ANSS" TargetMode="External"/><Relationship Id="rId11" Type="http://schemas.openxmlformats.org/officeDocument/2006/relationships/hyperlink" Target="https://www.cnbc.com/quotes/CPRT" TargetMode="External"/><Relationship Id="rId99" Type="http://schemas.openxmlformats.org/officeDocument/2006/relationships/hyperlink" Target="https://www.cnbc.com/quotes/GEHC" TargetMode="External"/><Relationship Id="rId10" Type="http://schemas.openxmlformats.org/officeDocument/2006/relationships/hyperlink" Target="https://www.cnbc.com/quotes/CHTR" TargetMode="External"/><Relationship Id="rId98" Type="http://schemas.openxmlformats.org/officeDocument/2006/relationships/hyperlink" Target="https://www.cnbc.com/quotes/AMAT" TargetMode="External"/><Relationship Id="rId13" Type="http://schemas.openxmlformats.org/officeDocument/2006/relationships/hyperlink" Target="https://www.cnbc.com/quotes/CRWD" TargetMode="External"/><Relationship Id="rId12" Type="http://schemas.openxmlformats.org/officeDocument/2006/relationships/hyperlink" Target="https://www.cnbc.com/quotes/CSGP" TargetMode="External"/><Relationship Id="rId91" Type="http://schemas.openxmlformats.org/officeDocument/2006/relationships/hyperlink" Target="https://www.cnbc.com/quotes/CCEP" TargetMode="External"/><Relationship Id="rId90" Type="http://schemas.openxmlformats.org/officeDocument/2006/relationships/hyperlink" Target="https://www.cnbc.com/quotes/CDW" TargetMode="External"/><Relationship Id="rId93" Type="http://schemas.openxmlformats.org/officeDocument/2006/relationships/hyperlink" Target="https://www.cnbc.com/quotes/MDB" TargetMode="External"/><Relationship Id="rId92" Type="http://schemas.openxmlformats.org/officeDocument/2006/relationships/hyperlink" Target="https://www.cnbc.com/quotes/ADI" TargetMode="External"/><Relationship Id="rId15" Type="http://schemas.openxmlformats.org/officeDocument/2006/relationships/hyperlink" Target="https://www.cnbc.com/quotes/CSCO" TargetMode="External"/><Relationship Id="rId14" Type="http://schemas.openxmlformats.org/officeDocument/2006/relationships/hyperlink" Target="https://www.cnbc.com/quotes/CTAS" TargetMode="External"/><Relationship Id="rId17" Type="http://schemas.openxmlformats.org/officeDocument/2006/relationships/hyperlink" Target="https://www.cnbc.com/quotes/COST" TargetMode="External"/><Relationship Id="rId16" Type="http://schemas.openxmlformats.org/officeDocument/2006/relationships/hyperlink" Target="https://www.cnbc.com/quotes/CMCSA" TargetMode="External"/><Relationship Id="rId19" Type="http://schemas.openxmlformats.org/officeDocument/2006/relationships/hyperlink" Target="https://www.cnbc.com/quotes/CTSH" TargetMode="External"/><Relationship Id="rId18" Type="http://schemas.openxmlformats.org/officeDocument/2006/relationships/hyperlink" Target="https://www.cnbc.com/quotes/CSX" TargetMode="External"/><Relationship Id="rId84" Type="http://schemas.openxmlformats.org/officeDocument/2006/relationships/hyperlink" Target="https://www.cnbc.com/quotes/ABNB" TargetMode="External"/><Relationship Id="rId83" Type="http://schemas.openxmlformats.org/officeDocument/2006/relationships/hyperlink" Target="https://www.cnbc.com/quotes/ADP" TargetMode="External"/><Relationship Id="rId86" Type="http://schemas.openxmlformats.org/officeDocument/2006/relationships/hyperlink" Target="https://www.cnbc.com/quotes/CEG" TargetMode="External"/><Relationship Id="rId85" Type="http://schemas.openxmlformats.org/officeDocument/2006/relationships/hyperlink" Target="https://www.cnbc.com/quotes/AMD" TargetMode="External"/><Relationship Id="rId88" Type="http://schemas.openxmlformats.org/officeDocument/2006/relationships/hyperlink" Target="https://www.cnbc.com/quotes/AMGN" TargetMode="External"/><Relationship Id="rId87" Type="http://schemas.openxmlformats.org/officeDocument/2006/relationships/hyperlink" Target="https://www.cnbc.com/quotes/AMZN" TargetMode="External"/><Relationship Id="rId89" Type="http://schemas.openxmlformats.org/officeDocument/2006/relationships/hyperlink" Target="https://www.cnbc.com/quotes/AEP" TargetMode="External"/><Relationship Id="rId80" Type="http://schemas.openxmlformats.org/officeDocument/2006/relationships/hyperlink" Target="https://www.cnbc.com/quotes/WDAY" TargetMode="External"/><Relationship Id="rId82" Type="http://schemas.openxmlformats.org/officeDocument/2006/relationships/hyperlink" Target="https://www.cnbc.com/quotes/ZS" TargetMode="External"/><Relationship Id="rId81" Type="http://schemas.openxmlformats.org/officeDocument/2006/relationships/hyperlink" Target="https://www.cnbc.com/quotes/XEL" TargetMode="External"/><Relationship Id="rId1" Type="http://schemas.openxmlformats.org/officeDocument/2006/relationships/hyperlink" Target="https://www.cnbc.com/quotes/ARM" TargetMode="External"/><Relationship Id="rId2" Type="http://schemas.openxmlformats.org/officeDocument/2006/relationships/hyperlink" Target="https://www.cnbc.com/quotes/LIN" TargetMode="External"/><Relationship Id="rId3" Type="http://schemas.openxmlformats.org/officeDocument/2006/relationships/hyperlink" Target="https://www.cnbc.com/quotes/AZN" TargetMode="External"/><Relationship Id="rId4" Type="http://schemas.openxmlformats.org/officeDocument/2006/relationships/hyperlink" Target="https://www.cnbc.com/quotes/BKR" TargetMode="External"/><Relationship Id="rId9" Type="http://schemas.openxmlformats.org/officeDocument/2006/relationships/hyperlink" Target="https://www.cnbc.com/quotes/ADBE" TargetMode="External"/><Relationship Id="rId5" Type="http://schemas.openxmlformats.org/officeDocument/2006/relationships/hyperlink" Target="https://www.cnbc.com/quotes/AVGO" TargetMode="External"/><Relationship Id="rId6" Type="http://schemas.openxmlformats.org/officeDocument/2006/relationships/hyperlink" Target="https://www.cnbc.com/quotes/BIIB" TargetMode="External"/><Relationship Id="rId7" Type="http://schemas.openxmlformats.org/officeDocument/2006/relationships/hyperlink" Target="https://www.cnbc.com/quotes/BKNG" TargetMode="External"/><Relationship Id="rId8" Type="http://schemas.openxmlformats.org/officeDocument/2006/relationships/hyperlink" Target="https://www.cnbc.com/quotes/CDNS" TargetMode="External"/><Relationship Id="rId73" Type="http://schemas.openxmlformats.org/officeDocument/2006/relationships/hyperlink" Target="https://www.cnbc.com/quotes/TSLA" TargetMode="External"/><Relationship Id="rId72" Type="http://schemas.openxmlformats.org/officeDocument/2006/relationships/hyperlink" Target="https://www.cnbc.com/quotes/SNPS" TargetMode="External"/><Relationship Id="rId75" Type="http://schemas.openxmlformats.org/officeDocument/2006/relationships/hyperlink" Target="https://www.cnbc.com/quotes/TMUS" TargetMode="External"/><Relationship Id="rId74" Type="http://schemas.openxmlformats.org/officeDocument/2006/relationships/hyperlink" Target="https://www.cnbc.com/quotes/TXN" TargetMode="External"/><Relationship Id="rId77" Type="http://schemas.openxmlformats.org/officeDocument/2006/relationships/hyperlink" Target="https://www.cnbc.com/quotes/VRTX" TargetMode="External"/><Relationship Id="rId76" Type="http://schemas.openxmlformats.org/officeDocument/2006/relationships/hyperlink" Target="https://www.cnbc.com/quotes/VRSK" TargetMode="External"/><Relationship Id="rId79" Type="http://schemas.openxmlformats.org/officeDocument/2006/relationships/hyperlink" Target="https://www.cnbc.com/quotes/WBD" TargetMode="External"/><Relationship Id="rId78" Type="http://schemas.openxmlformats.org/officeDocument/2006/relationships/hyperlink" Target="https://www.cnbc.com/quotes/WBA" TargetMode="External"/><Relationship Id="rId71" Type="http://schemas.openxmlformats.org/officeDocument/2006/relationships/hyperlink" Target="https://www.cnbc.com/quotes/SBUX" TargetMode="External"/><Relationship Id="rId70" Type="http://schemas.openxmlformats.org/officeDocument/2006/relationships/hyperlink" Target="https://www.cnbc.com/quotes/ROST" TargetMode="External"/><Relationship Id="rId62" Type="http://schemas.openxmlformats.org/officeDocument/2006/relationships/hyperlink" Target="https://www.cnbc.com/quotes/PCAR" TargetMode="External"/><Relationship Id="rId61" Type="http://schemas.openxmlformats.org/officeDocument/2006/relationships/hyperlink" Target="https://www.cnbc.com/quotes/ORLY" TargetMode="External"/><Relationship Id="rId64" Type="http://schemas.openxmlformats.org/officeDocument/2006/relationships/hyperlink" Target="https://www.cnbc.com/quotes/PAYX" TargetMode="External"/><Relationship Id="rId63" Type="http://schemas.openxmlformats.org/officeDocument/2006/relationships/hyperlink" Target="https://www.cnbc.com/quotes/PANW" TargetMode="External"/><Relationship Id="rId66" Type="http://schemas.openxmlformats.org/officeDocument/2006/relationships/hyperlink" Target="https://www.cnbc.com/quotes/PYPL" TargetMode="External"/><Relationship Id="rId65" Type="http://schemas.openxmlformats.org/officeDocument/2006/relationships/hyperlink" Target="https://www.cnbc.com/quotes/PDD" TargetMode="External"/><Relationship Id="rId68" Type="http://schemas.openxmlformats.org/officeDocument/2006/relationships/hyperlink" Target="https://www.cnbc.com/quotes/QCOM" TargetMode="External"/><Relationship Id="rId67" Type="http://schemas.openxmlformats.org/officeDocument/2006/relationships/hyperlink" Target="https://www.cnbc.com/quotes/PEP" TargetMode="External"/><Relationship Id="rId60" Type="http://schemas.openxmlformats.org/officeDocument/2006/relationships/hyperlink" Target="https://www.cnbc.com/quotes/ODFL" TargetMode="External"/><Relationship Id="rId69" Type="http://schemas.openxmlformats.org/officeDocument/2006/relationships/hyperlink" Target="https://www.cnbc.com/quotes/REGN" TargetMode="External"/><Relationship Id="rId51" Type="http://schemas.openxmlformats.org/officeDocument/2006/relationships/hyperlink" Target="https://www.cnbc.com/quotes/MDLZ" TargetMode="External"/><Relationship Id="rId50" Type="http://schemas.openxmlformats.org/officeDocument/2006/relationships/hyperlink" Target="https://www.cnbc.com/quotes/MCHP" TargetMode="External"/><Relationship Id="rId53" Type="http://schemas.openxmlformats.org/officeDocument/2006/relationships/hyperlink" Target="https://www.cnbc.com/quotes/MNST" TargetMode="External"/><Relationship Id="rId52" Type="http://schemas.openxmlformats.org/officeDocument/2006/relationships/hyperlink" Target="https://www.cnbc.com/quotes/MRNA" TargetMode="External"/><Relationship Id="rId55" Type="http://schemas.openxmlformats.org/officeDocument/2006/relationships/hyperlink" Target="https://www.cnbc.com/quotes/MU" TargetMode="External"/><Relationship Id="rId54" Type="http://schemas.openxmlformats.org/officeDocument/2006/relationships/hyperlink" Target="https://www.cnbc.com/quotes/MSFT" TargetMode="External"/><Relationship Id="rId57" Type="http://schemas.openxmlformats.org/officeDocument/2006/relationships/hyperlink" Target="https://www.cnbc.com/quotes/GRAL" TargetMode="External"/><Relationship Id="rId56" Type="http://schemas.openxmlformats.org/officeDocument/2006/relationships/hyperlink" Target="https://www.cnbc.com/quotes/NFLX" TargetMode="External"/><Relationship Id="rId59" Type="http://schemas.openxmlformats.org/officeDocument/2006/relationships/hyperlink" Target="https://www.cnbc.com/quotes/NXPI" TargetMode="External"/><Relationship Id="rId58" Type="http://schemas.openxmlformats.org/officeDocument/2006/relationships/hyperlink" Target="https://www.cnbc.com/quotes/NVDA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nbc.com/quotes/DXCM" TargetMode="External"/><Relationship Id="rId190" Type="http://schemas.openxmlformats.org/officeDocument/2006/relationships/hyperlink" Target="https://www.cnbc.com/quotes/ANSS" TargetMode="External"/><Relationship Id="rId42" Type="http://schemas.openxmlformats.org/officeDocument/2006/relationships/hyperlink" Target="https://www.cnbc.com/quotes/FANG" TargetMode="External"/><Relationship Id="rId41" Type="http://schemas.openxmlformats.org/officeDocument/2006/relationships/hyperlink" Target="https://www.cnbc.com/quotes/DXCM" TargetMode="External"/><Relationship Id="rId44" Type="http://schemas.openxmlformats.org/officeDocument/2006/relationships/hyperlink" Target="https://www.cnbc.com/quotes/DLTR" TargetMode="External"/><Relationship Id="rId194" Type="http://schemas.openxmlformats.org/officeDocument/2006/relationships/hyperlink" Target="https://www.cnbc.com/quotes/AMAT" TargetMode="External"/><Relationship Id="rId43" Type="http://schemas.openxmlformats.org/officeDocument/2006/relationships/hyperlink" Target="https://www.cnbc.com/quotes/FANG" TargetMode="External"/><Relationship Id="rId193" Type="http://schemas.openxmlformats.org/officeDocument/2006/relationships/hyperlink" Target="https://www.cnbc.com/quotes/AAPL" TargetMode="External"/><Relationship Id="rId46" Type="http://schemas.openxmlformats.org/officeDocument/2006/relationships/hyperlink" Target="https://www.cnbc.com/quotes/EA" TargetMode="External"/><Relationship Id="rId192" Type="http://schemas.openxmlformats.org/officeDocument/2006/relationships/hyperlink" Target="https://www.cnbc.com/quotes/AAPL" TargetMode="External"/><Relationship Id="rId45" Type="http://schemas.openxmlformats.org/officeDocument/2006/relationships/hyperlink" Target="https://www.cnbc.com/quotes/DLTR" TargetMode="External"/><Relationship Id="rId191" Type="http://schemas.openxmlformats.org/officeDocument/2006/relationships/hyperlink" Target="https://www.cnbc.com/quotes/ANSS" TargetMode="External"/><Relationship Id="rId48" Type="http://schemas.openxmlformats.org/officeDocument/2006/relationships/hyperlink" Target="https://www.cnbc.com/quotes/ON" TargetMode="External"/><Relationship Id="rId187" Type="http://schemas.openxmlformats.org/officeDocument/2006/relationships/hyperlink" Target="https://www.cnbc.com/quotes/DASH" TargetMode="External"/><Relationship Id="rId47" Type="http://schemas.openxmlformats.org/officeDocument/2006/relationships/hyperlink" Target="https://www.cnbc.com/quotes/EA" TargetMode="External"/><Relationship Id="rId186" Type="http://schemas.openxmlformats.org/officeDocument/2006/relationships/hyperlink" Target="https://www.cnbc.com/quotes/DASH" TargetMode="External"/><Relationship Id="rId185" Type="http://schemas.openxmlformats.org/officeDocument/2006/relationships/hyperlink" Target="https://www.cnbc.com/quotes/MDB" TargetMode="External"/><Relationship Id="rId49" Type="http://schemas.openxmlformats.org/officeDocument/2006/relationships/hyperlink" Target="https://www.cnbc.com/quotes/ON" TargetMode="External"/><Relationship Id="rId184" Type="http://schemas.openxmlformats.org/officeDocument/2006/relationships/hyperlink" Target="https://www.cnbc.com/quotes/MDB" TargetMode="External"/><Relationship Id="rId189" Type="http://schemas.openxmlformats.org/officeDocument/2006/relationships/hyperlink" Target="https://www.cnbc.com/quotes/ROP" TargetMode="External"/><Relationship Id="rId188" Type="http://schemas.openxmlformats.org/officeDocument/2006/relationships/hyperlink" Target="https://www.cnbc.com/quotes/ROP" TargetMode="External"/><Relationship Id="rId31" Type="http://schemas.openxmlformats.org/officeDocument/2006/relationships/hyperlink" Target="https://www.cnbc.com/quotes/CMCSA" TargetMode="External"/><Relationship Id="rId30" Type="http://schemas.openxmlformats.org/officeDocument/2006/relationships/hyperlink" Target="https://www.cnbc.com/quotes/CMCSA" TargetMode="External"/><Relationship Id="rId33" Type="http://schemas.openxmlformats.org/officeDocument/2006/relationships/hyperlink" Target="https://www.cnbc.com/quotes/COST" TargetMode="External"/><Relationship Id="rId183" Type="http://schemas.openxmlformats.org/officeDocument/2006/relationships/hyperlink" Target="https://www.cnbc.com/quotes/ADI" TargetMode="External"/><Relationship Id="rId32" Type="http://schemas.openxmlformats.org/officeDocument/2006/relationships/hyperlink" Target="https://www.cnbc.com/quotes/COST" TargetMode="External"/><Relationship Id="rId182" Type="http://schemas.openxmlformats.org/officeDocument/2006/relationships/hyperlink" Target="https://www.cnbc.com/quotes/ADI" TargetMode="External"/><Relationship Id="rId35" Type="http://schemas.openxmlformats.org/officeDocument/2006/relationships/hyperlink" Target="https://www.cnbc.com/quotes/CSX" TargetMode="External"/><Relationship Id="rId181" Type="http://schemas.openxmlformats.org/officeDocument/2006/relationships/hyperlink" Target="https://www.cnbc.com/quotes/CCEP" TargetMode="External"/><Relationship Id="rId34" Type="http://schemas.openxmlformats.org/officeDocument/2006/relationships/hyperlink" Target="https://www.cnbc.com/quotes/CSX" TargetMode="External"/><Relationship Id="rId180" Type="http://schemas.openxmlformats.org/officeDocument/2006/relationships/hyperlink" Target="https://www.cnbc.com/quotes/CCEP" TargetMode="External"/><Relationship Id="rId37" Type="http://schemas.openxmlformats.org/officeDocument/2006/relationships/hyperlink" Target="https://www.cnbc.com/quotes/CTSH" TargetMode="External"/><Relationship Id="rId176" Type="http://schemas.openxmlformats.org/officeDocument/2006/relationships/hyperlink" Target="https://www.cnbc.com/quotes/AEP" TargetMode="External"/><Relationship Id="rId36" Type="http://schemas.openxmlformats.org/officeDocument/2006/relationships/hyperlink" Target="https://www.cnbc.com/quotes/CTSH" TargetMode="External"/><Relationship Id="rId175" Type="http://schemas.openxmlformats.org/officeDocument/2006/relationships/hyperlink" Target="https://www.cnbc.com/quotes/AMGN" TargetMode="External"/><Relationship Id="rId39" Type="http://schemas.openxmlformats.org/officeDocument/2006/relationships/hyperlink" Target="https://www.cnbc.com/quotes/DDOG" TargetMode="External"/><Relationship Id="rId174" Type="http://schemas.openxmlformats.org/officeDocument/2006/relationships/hyperlink" Target="https://www.cnbc.com/quotes/AMGN" TargetMode="External"/><Relationship Id="rId38" Type="http://schemas.openxmlformats.org/officeDocument/2006/relationships/hyperlink" Target="https://www.cnbc.com/quotes/DDOG" TargetMode="External"/><Relationship Id="rId173" Type="http://schemas.openxmlformats.org/officeDocument/2006/relationships/hyperlink" Target="https://www.cnbc.com/quotes/AMZN" TargetMode="External"/><Relationship Id="rId179" Type="http://schemas.openxmlformats.org/officeDocument/2006/relationships/hyperlink" Target="https://www.cnbc.com/quotes/CDW" TargetMode="External"/><Relationship Id="rId178" Type="http://schemas.openxmlformats.org/officeDocument/2006/relationships/hyperlink" Target="https://www.cnbc.com/quotes/CDW" TargetMode="External"/><Relationship Id="rId177" Type="http://schemas.openxmlformats.org/officeDocument/2006/relationships/hyperlink" Target="https://www.cnbc.com/quotes/AEP" TargetMode="External"/><Relationship Id="rId20" Type="http://schemas.openxmlformats.org/officeDocument/2006/relationships/hyperlink" Target="https://www.cnbc.com/quotes/CPRT" TargetMode="External"/><Relationship Id="rId22" Type="http://schemas.openxmlformats.org/officeDocument/2006/relationships/hyperlink" Target="https://www.cnbc.com/quotes/CSGP" TargetMode="External"/><Relationship Id="rId21" Type="http://schemas.openxmlformats.org/officeDocument/2006/relationships/hyperlink" Target="https://www.cnbc.com/quotes/CPRT" TargetMode="External"/><Relationship Id="rId24" Type="http://schemas.openxmlformats.org/officeDocument/2006/relationships/hyperlink" Target="https://www.cnbc.com/quotes/CRWD" TargetMode="External"/><Relationship Id="rId23" Type="http://schemas.openxmlformats.org/officeDocument/2006/relationships/hyperlink" Target="https://www.cnbc.com/quotes/CSGP" TargetMode="External"/><Relationship Id="rId26" Type="http://schemas.openxmlformats.org/officeDocument/2006/relationships/hyperlink" Target="https://www.cnbc.com/quotes/CTAS" TargetMode="External"/><Relationship Id="rId25" Type="http://schemas.openxmlformats.org/officeDocument/2006/relationships/hyperlink" Target="https://www.cnbc.com/quotes/CRWD" TargetMode="External"/><Relationship Id="rId28" Type="http://schemas.openxmlformats.org/officeDocument/2006/relationships/hyperlink" Target="https://www.cnbc.com/quotes/CSCO" TargetMode="External"/><Relationship Id="rId27" Type="http://schemas.openxmlformats.org/officeDocument/2006/relationships/hyperlink" Target="https://www.cnbc.com/quotes/CTAS" TargetMode="External"/><Relationship Id="rId29" Type="http://schemas.openxmlformats.org/officeDocument/2006/relationships/hyperlink" Target="https://www.cnbc.com/quotes/CSCO" TargetMode="External"/><Relationship Id="rId11" Type="http://schemas.openxmlformats.org/officeDocument/2006/relationships/hyperlink" Target="https://www.cnbc.com/quotes/BIIB" TargetMode="External"/><Relationship Id="rId10" Type="http://schemas.openxmlformats.org/officeDocument/2006/relationships/hyperlink" Target="https://www.cnbc.com/quotes/BIIB" TargetMode="External"/><Relationship Id="rId13" Type="http://schemas.openxmlformats.org/officeDocument/2006/relationships/hyperlink" Target="https://www.cnbc.com/quotes/BKNG" TargetMode="External"/><Relationship Id="rId12" Type="http://schemas.openxmlformats.org/officeDocument/2006/relationships/hyperlink" Target="https://www.cnbc.com/quotes/BKNG" TargetMode="External"/><Relationship Id="rId15" Type="http://schemas.openxmlformats.org/officeDocument/2006/relationships/hyperlink" Target="https://www.cnbc.com/quotes/CDNS" TargetMode="External"/><Relationship Id="rId198" Type="http://schemas.openxmlformats.org/officeDocument/2006/relationships/hyperlink" Target="https://www.cnbc.com/quotes/ASML" TargetMode="External"/><Relationship Id="rId14" Type="http://schemas.openxmlformats.org/officeDocument/2006/relationships/hyperlink" Target="https://www.cnbc.com/quotes/CDNS" TargetMode="External"/><Relationship Id="rId197" Type="http://schemas.openxmlformats.org/officeDocument/2006/relationships/hyperlink" Target="https://www.cnbc.com/quotes/GEHC" TargetMode="External"/><Relationship Id="rId17" Type="http://schemas.openxmlformats.org/officeDocument/2006/relationships/hyperlink" Target="https://www.cnbc.com/quotes/ADBE" TargetMode="External"/><Relationship Id="rId196" Type="http://schemas.openxmlformats.org/officeDocument/2006/relationships/hyperlink" Target="https://www.cnbc.com/quotes/GEHC" TargetMode="External"/><Relationship Id="rId16" Type="http://schemas.openxmlformats.org/officeDocument/2006/relationships/hyperlink" Target="https://www.cnbc.com/quotes/ADBE" TargetMode="External"/><Relationship Id="rId195" Type="http://schemas.openxmlformats.org/officeDocument/2006/relationships/hyperlink" Target="https://www.cnbc.com/quotes/AMAT" TargetMode="External"/><Relationship Id="rId19" Type="http://schemas.openxmlformats.org/officeDocument/2006/relationships/hyperlink" Target="https://www.cnbc.com/quotes/CHTR" TargetMode="External"/><Relationship Id="rId18" Type="http://schemas.openxmlformats.org/officeDocument/2006/relationships/hyperlink" Target="https://www.cnbc.com/quotes/CHTR" TargetMode="External"/><Relationship Id="rId199" Type="http://schemas.openxmlformats.org/officeDocument/2006/relationships/hyperlink" Target="https://www.cnbc.com/quotes/ASML" TargetMode="External"/><Relationship Id="rId84" Type="http://schemas.openxmlformats.org/officeDocument/2006/relationships/hyperlink" Target="https://www.cnbc.com/quotes/KDP" TargetMode="External"/><Relationship Id="rId83" Type="http://schemas.openxmlformats.org/officeDocument/2006/relationships/hyperlink" Target="https://www.cnbc.com/quotes/IDXX" TargetMode="External"/><Relationship Id="rId86" Type="http://schemas.openxmlformats.org/officeDocument/2006/relationships/hyperlink" Target="https://www.cnbc.com/quotes/KLAC" TargetMode="External"/><Relationship Id="rId85" Type="http://schemas.openxmlformats.org/officeDocument/2006/relationships/hyperlink" Target="https://www.cnbc.com/quotes/KDP" TargetMode="External"/><Relationship Id="rId88" Type="http://schemas.openxmlformats.org/officeDocument/2006/relationships/hyperlink" Target="https://www.cnbc.com/quotes/KHC" TargetMode="External"/><Relationship Id="rId150" Type="http://schemas.openxmlformats.org/officeDocument/2006/relationships/hyperlink" Target="https://www.cnbc.com/quotes/VRSK" TargetMode="External"/><Relationship Id="rId87" Type="http://schemas.openxmlformats.org/officeDocument/2006/relationships/hyperlink" Target="https://www.cnbc.com/quotes/KLAC" TargetMode="External"/><Relationship Id="rId89" Type="http://schemas.openxmlformats.org/officeDocument/2006/relationships/hyperlink" Target="https://www.cnbc.com/quotes/KHC" TargetMode="External"/><Relationship Id="rId80" Type="http://schemas.openxmlformats.org/officeDocument/2006/relationships/hyperlink" Target="https://www.cnbc.com/quotes/MRVL" TargetMode="External"/><Relationship Id="rId82" Type="http://schemas.openxmlformats.org/officeDocument/2006/relationships/hyperlink" Target="https://www.cnbc.com/quotes/IDXX" TargetMode="External"/><Relationship Id="rId81" Type="http://schemas.openxmlformats.org/officeDocument/2006/relationships/hyperlink" Target="https://www.cnbc.com/quotes/MRVL" TargetMode="External"/><Relationship Id="rId1" Type="http://schemas.openxmlformats.org/officeDocument/2006/relationships/hyperlink" Target="https://www.cnbc.com/quotes/ARM" TargetMode="External"/><Relationship Id="rId2" Type="http://schemas.openxmlformats.org/officeDocument/2006/relationships/hyperlink" Target="https://www.cnbc.com/quotes/LIN" TargetMode="External"/><Relationship Id="rId3" Type="http://schemas.openxmlformats.org/officeDocument/2006/relationships/hyperlink" Target="https://www.cnbc.com/quotes/LIN" TargetMode="External"/><Relationship Id="rId149" Type="http://schemas.openxmlformats.org/officeDocument/2006/relationships/hyperlink" Target="https://www.cnbc.com/quotes/TMUS" TargetMode="External"/><Relationship Id="rId4" Type="http://schemas.openxmlformats.org/officeDocument/2006/relationships/hyperlink" Target="https://www.cnbc.com/quotes/AZN" TargetMode="External"/><Relationship Id="rId148" Type="http://schemas.openxmlformats.org/officeDocument/2006/relationships/hyperlink" Target="https://www.cnbc.com/quotes/TMUS" TargetMode="External"/><Relationship Id="rId9" Type="http://schemas.openxmlformats.org/officeDocument/2006/relationships/hyperlink" Target="https://www.cnbc.com/quotes/AVGO" TargetMode="External"/><Relationship Id="rId143" Type="http://schemas.openxmlformats.org/officeDocument/2006/relationships/hyperlink" Target="https://www.cnbc.com/quotes/SNPS" TargetMode="External"/><Relationship Id="rId142" Type="http://schemas.openxmlformats.org/officeDocument/2006/relationships/hyperlink" Target="https://www.cnbc.com/quotes/SNPS" TargetMode="External"/><Relationship Id="rId141" Type="http://schemas.openxmlformats.org/officeDocument/2006/relationships/hyperlink" Target="https://www.cnbc.com/quotes/SBUX" TargetMode="External"/><Relationship Id="rId140" Type="http://schemas.openxmlformats.org/officeDocument/2006/relationships/hyperlink" Target="https://www.cnbc.com/quotes/SBUX" TargetMode="External"/><Relationship Id="rId5" Type="http://schemas.openxmlformats.org/officeDocument/2006/relationships/hyperlink" Target="https://www.cnbc.com/quotes/AZN" TargetMode="External"/><Relationship Id="rId147" Type="http://schemas.openxmlformats.org/officeDocument/2006/relationships/hyperlink" Target="https://www.cnbc.com/quotes/TXN" TargetMode="External"/><Relationship Id="rId6" Type="http://schemas.openxmlformats.org/officeDocument/2006/relationships/hyperlink" Target="https://www.cnbc.com/quotes/BKR" TargetMode="External"/><Relationship Id="rId146" Type="http://schemas.openxmlformats.org/officeDocument/2006/relationships/hyperlink" Target="https://www.cnbc.com/quotes/TXN" TargetMode="External"/><Relationship Id="rId7" Type="http://schemas.openxmlformats.org/officeDocument/2006/relationships/hyperlink" Target="https://www.cnbc.com/quotes/BKR" TargetMode="External"/><Relationship Id="rId145" Type="http://schemas.openxmlformats.org/officeDocument/2006/relationships/hyperlink" Target="https://www.cnbc.com/quotes/TSLA" TargetMode="External"/><Relationship Id="rId8" Type="http://schemas.openxmlformats.org/officeDocument/2006/relationships/hyperlink" Target="https://www.cnbc.com/quotes/AVGO" TargetMode="External"/><Relationship Id="rId144" Type="http://schemas.openxmlformats.org/officeDocument/2006/relationships/hyperlink" Target="https://www.cnbc.com/quotes/TSLA" TargetMode="External"/><Relationship Id="rId73" Type="http://schemas.openxmlformats.org/officeDocument/2006/relationships/hyperlink" Target="https://www.cnbc.com/quotes/ILMN" TargetMode="External"/><Relationship Id="rId72" Type="http://schemas.openxmlformats.org/officeDocument/2006/relationships/hyperlink" Target="https://www.cnbc.com/quotes/ILMN" TargetMode="External"/><Relationship Id="rId75" Type="http://schemas.openxmlformats.org/officeDocument/2006/relationships/hyperlink" Target="https://www.cnbc.com/quotes/INTC" TargetMode="External"/><Relationship Id="rId74" Type="http://schemas.openxmlformats.org/officeDocument/2006/relationships/hyperlink" Target="https://www.cnbc.com/quotes/INTC" TargetMode="External"/><Relationship Id="rId77" Type="http://schemas.openxmlformats.org/officeDocument/2006/relationships/hyperlink" Target="https://www.cnbc.com/quotes/INTU" TargetMode="External"/><Relationship Id="rId76" Type="http://schemas.openxmlformats.org/officeDocument/2006/relationships/hyperlink" Target="https://www.cnbc.com/quotes/INTU" TargetMode="External"/><Relationship Id="rId79" Type="http://schemas.openxmlformats.org/officeDocument/2006/relationships/hyperlink" Target="https://www.cnbc.com/quotes/ISRG" TargetMode="External"/><Relationship Id="rId78" Type="http://schemas.openxmlformats.org/officeDocument/2006/relationships/hyperlink" Target="https://www.cnbc.com/quotes/ISRG" TargetMode="External"/><Relationship Id="rId71" Type="http://schemas.openxmlformats.org/officeDocument/2006/relationships/hyperlink" Target="https://www.cnbc.com/quotes/HON" TargetMode="External"/><Relationship Id="rId70" Type="http://schemas.openxmlformats.org/officeDocument/2006/relationships/hyperlink" Target="https://www.cnbc.com/quotes/HON" TargetMode="External"/><Relationship Id="rId139" Type="http://schemas.openxmlformats.org/officeDocument/2006/relationships/hyperlink" Target="https://www.cnbc.com/quotes/ROST" TargetMode="External"/><Relationship Id="rId138" Type="http://schemas.openxmlformats.org/officeDocument/2006/relationships/hyperlink" Target="https://www.cnbc.com/quotes/ROST" TargetMode="External"/><Relationship Id="rId137" Type="http://schemas.openxmlformats.org/officeDocument/2006/relationships/hyperlink" Target="https://www.cnbc.com/quotes/REGN" TargetMode="External"/><Relationship Id="rId132" Type="http://schemas.openxmlformats.org/officeDocument/2006/relationships/hyperlink" Target="https://www.cnbc.com/quotes/PEP" TargetMode="External"/><Relationship Id="rId131" Type="http://schemas.openxmlformats.org/officeDocument/2006/relationships/hyperlink" Target="https://www.cnbc.com/quotes/PYPL" TargetMode="External"/><Relationship Id="rId130" Type="http://schemas.openxmlformats.org/officeDocument/2006/relationships/hyperlink" Target="https://www.cnbc.com/quotes/PYPL" TargetMode="External"/><Relationship Id="rId136" Type="http://schemas.openxmlformats.org/officeDocument/2006/relationships/hyperlink" Target="https://www.cnbc.com/quotes/REGN" TargetMode="External"/><Relationship Id="rId135" Type="http://schemas.openxmlformats.org/officeDocument/2006/relationships/hyperlink" Target="https://www.cnbc.com/quotes/QCOM" TargetMode="External"/><Relationship Id="rId134" Type="http://schemas.openxmlformats.org/officeDocument/2006/relationships/hyperlink" Target="https://www.cnbc.com/quotes/QCOM" TargetMode="External"/><Relationship Id="rId133" Type="http://schemas.openxmlformats.org/officeDocument/2006/relationships/hyperlink" Target="https://www.cnbc.com/quotes/PEP" TargetMode="External"/><Relationship Id="rId62" Type="http://schemas.openxmlformats.org/officeDocument/2006/relationships/hyperlink" Target="https://www.cnbc.com/quotes/FTNT" TargetMode="External"/><Relationship Id="rId61" Type="http://schemas.openxmlformats.org/officeDocument/2006/relationships/hyperlink" Target="https://www.cnbc.com/quotes/FI" TargetMode="External"/><Relationship Id="rId64" Type="http://schemas.openxmlformats.org/officeDocument/2006/relationships/hyperlink" Target="https://www.cnbc.com/quotes/GILD" TargetMode="External"/><Relationship Id="rId63" Type="http://schemas.openxmlformats.org/officeDocument/2006/relationships/hyperlink" Target="https://www.cnbc.com/quotes/FTNT" TargetMode="External"/><Relationship Id="rId66" Type="http://schemas.openxmlformats.org/officeDocument/2006/relationships/hyperlink" Target="https://www.cnbc.com/quotes/GOOG" TargetMode="External"/><Relationship Id="rId172" Type="http://schemas.openxmlformats.org/officeDocument/2006/relationships/hyperlink" Target="https://www.cnbc.com/quotes/AMZN" TargetMode="External"/><Relationship Id="rId65" Type="http://schemas.openxmlformats.org/officeDocument/2006/relationships/hyperlink" Target="https://www.cnbc.com/quotes/GILD" TargetMode="External"/><Relationship Id="rId171" Type="http://schemas.openxmlformats.org/officeDocument/2006/relationships/hyperlink" Target="https://www.cnbc.com/quotes/CEG" TargetMode="External"/><Relationship Id="rId68" Type="http://schemas.openxmlformats.org/officeDocument/2006/relationships/hyperlink" Target="https://www.cnbc.com/quotes/GOOGL" TargetMode="External"/><Relationship Id="rId170" Type="http://schemas.openxmlformats.org/officeDocument/2006/relationships/hyperlink" Target="https://www.cnbc.com/quotes/CEG" TargetMode="External"/><Relationship Id="rId67" Type="http://schemas.openxmlformats.org/officeDocument/2006/relationships/hyperlink" Target="https://www.cnbc.com/quotes/GOOG" TargetMode="External"/><Relationship Id="rId60" Type="http://schemas.openxmlformats.org/officeDocument/2006/relationships/hyperlink" Target="https://www.cnbc.com/quotes/FI" TargetMode="External"/><Relationship Id="rId165" Type="http://schemas.openxmlformats.org/officeDocument/2006/relationships/hyperlink" Target="https://www.cnbc.com/quotes/ADP" TargetMode="External"/><Relationship Id="rId69" Type="http://schemas.openxmlformats.org/officeDocument/2006/relationships/hyperlink" Target="https://www.cnbc.com/quotes/GOOGL" TargetMode="External"/><Relationship Id="rId164" Type="http://schemas.openxmlformats.org/officeDocument/2006/relationships/hyperlink" Target="https://www.cnbc.com/quotes/ADP" TargetMode="External"/><Relationship Id="rId163" Type="http://schemas.openxmlformats.org/officeDocument/2006/relationships/hyperlink" Target="https://www.cnbc.com/quotes/ZS" TargetMode="External"/><Relationship Id="rId162" Type="http://schemas.openxmlformats.org/officeDocument/2006/relationships/hyperlink" Target="https://www.cnbc.com/quotes/ZS" TargetMode="External"/><Relationship Id="rId169" Type="http://schemas.openxmlformats.org/officeDocument/2006/relationships/hyperlink" Target="https://www.cnbc.com/quotes/AMD" TargetMode="External"/><Relationship Id="rId168" Type="http://schemas.openxmlformats.org/officeDocument/2006/relationships/hyperlink" Target="https://www.cnbc.com/quotes/AMD" TargetMode="External"/><Relationship Id="rId167" Type="http://schemas.openxmlformats.org/officeDocument/2006/relationships/hyperlink" Target="https://www.cnbc.com/quotes/ABNB" TargetMode="External"/><Relationship Id="rId166" Type="http://schemas.openxmlformats.org/officeDocument/2006/relationships/hyperlink" Target="https://www.cnbc.com/quotes/ABNB" TargetMode="External"/><Relationship Id="rId51" Type="http://schemas.openxmlformats.org/officeDocument/2006/relationships/hyperlink" Target="https://www.cnbc.com/quotes/EXC" TargetMode="External"/><Relationship Id="rId50" Type="http://schemas.openxmlformats.org/officeDocument/2006/relationships/hyperlink" Target="https://www.cnbc.com/quotes/EXC" TargetMode="External"/><Relationship Id="rId53" Type="http://schemas.openxmlformats.org/officeDocument/2006/relationships/hyperlink" Target="https://www.cnbc.com/quotes/TTD" TargetMode="External"/><Relationship Id="rId52" Type="http://schemas.openxmlformats.org/officeDocument/2006/relationships/hyperlink" Target="https://www.cnbc.com/quotes/TTD" TargetMode="External"/><Relationship Id="rId55" Type="http://schemas.openxmlformats.org/officeDocument/2006/relationships/hyperlink" Target="https://www.cnbc.com/quotes/FAST" TargetMode="External"/><Relationship Id="rId161" Type="http://schemas.openxmlformats.org/officeDocument/2006/relationships/hyperlink" Target="https://www.cnbc.com/quotes/XEL" TargetMode="External"/><Relationship Id="rId54" Type="http://schemas.openxmlformats.org/officeDocument/2006/relationships/hyperlink" Target="https://www.cnbc.com/quotes/FAST" TargetMode="External"/><Relationship Id="rId160" Type="http://schemas.openxmlformats.org/officeDocument/2006/relationships/hyperlink" Target="https://www.cnbc.com/quotes/XEL" TargetMode="External"/><Relationship Id="rId57" Type="http://schemas.openxmlformats.org/officeDocument/2006/relationships/hyperlink" Target="https://www.cnbc.com/quotes/GFS" TargetMode="External"/><Relationship Id="rId56" Type="http://schemas.openxmlformats.org/officeDocument/2006/relationships/hyperlink" Target="https://www.cnbc.com/quotes/GFS" TargetMode="External"/><Relationship Id="rId159" Type="http://schemas.openxmlformats.org/officeDocument/2006/relationships/hyperlink" Target="https://www.cnbc.com/quotes/WDAY" TargetMode="External"/><Relationship Id="rId59" Type="http://schemas.openxmlformats.org/officeDocument/2006/relationships/hyperlink" Target="https://www.cnbc.com/quotes/META" TargetMode="External"/><Relationship Id="rId154" Type="http://schemas.openxmlformats.org/officeDocument/2006/relationships/hyperlink" Target="https://www.cnbc.com/quotes/WBA" TargetMode="External"/><Relationship Id="rId58" Type="http://schemas.openxmlformats.org/officeDocument/2006/relationships/hyperlink" Target="https://www.cnbc.com/quotes/META" TargetMode="External"/><Relationship Id="rId153" Type="http://schemas.openxmlformats.org/officeDocument/2006/relationships/hyperlink" Target="https://www.cnbc.com/quotes/VRTX" TargetMode="External"/><Relationship Id="rId152" Type="http://schemas.openxmlformats.org/officeDocument/2006/relationships/hyperlink" Target="https://www.cnbc.com/quotes/VRTX" TargetMode="External"/><Relationship Id="rId151" Type="http://schemas.openxmlformats.org/officeDocument/2006/relationships/hyperlink" Target="https://www.cnbc.com/quotes/VRSK" TargetMode="External"/><Relationship Id="rId158" Type="http://schemas.openxmlformats.org/officeDocument/2006/relationships/hyperlink" Target="https://www.cnbc.com/quotes/WDAY" TargetMode="External"/><Relationship Id="rId157" Type="http://schemas.openxmlformats.org/officeDocument/2006/relationships/hyperlink" Target="https://www.cnbc.com/quotes/WBD" TargetMode="External"/><Relationship Id="rId156" Type="http://schemas.openxmlformats.org/officeDocument/2006/relationships/hyperlink" Target="https://www.cnbc.com/quotes/WBD" TargetMode="External"/><Relationship Id="rId155" Type="http://schemas.openxmlformats.org/officeDocument/2006/relationships/hyperlink" Target="https://www.cnbc.com/quotes/WBA" TargetMode="External"/><Relationship Id="rId107" Type="http://schemas.openxmlformats.org/officeDocument/2006/relationships/hyperlink" Target="https://www.cnbc.com/quotes/MSFT" TargetMode="External"/><Relationship Id="rId106" Type="http://schemas.openxmlformats.org/officeDocument/2006/relationships/hyperlink" Target="https://www.cnbc.com/quotes/MSFT" TargetMode="External"/><Relationship Id="rId105" Type="http://schemas.openxmlformats.org/officeDocument/2006/relationships/hyperlink" Target="https://www.cnbc.com/quotes/MNST" TargetMode="External"/><Relationship Id="rId104" Type="http://schemas.openxmlformats.org/officeDocument/2006/relationships/hyperlink" Target="https://www.cnbc.com/quotes/MNST" TargetMode="External"/><Relationship Id="rId109" Type="http://schemas.openxmlformats.org/officeDocument/2006/relationships/hyperlink" Target="https://www.cnbc.com/quotes/MU" TargetMode="External"/><Relationship Id="rId108" Type="http://schemas.openxmlformats.org/officeDocument/2006/relationships/hyperlink" Target="https://www.cnbc.com/quotes/MU" TargetMode="External"/><Relationship Id="rId103" Type="http://schemas.openxmlformats.org/officeDocument/2006/relationships/hyperlink" Target="https://www.cnbc.com/quotes/MRNA" TargetMode="External"/><Relationship Id="rId102" Type="http://schemas.openxmlformats.org/officeDocument/2006/relationships/hyperlink" Target="https://www.cnbc.com/quotes/MRNA" TargetMode="External"/><Relationship Id="rId101" Type="http://schemas.openxmlformats.org/officeDocument/2006/relationships/hyperlink" Target="https://www.cnbc.com/quotes/MDLZ" TargetMode="External"/><Relationship Id="rId100" Type="http://schemas.openxmlformats.org/officeDocument/2006/relationships/hyperlink" Target="https://www.cnbc.com/quotes/MDLZ" TargetMode="External"/><Relationship Id="rId129" Type="http://schemas.openxmlformats.org/officeDocument/2006/relationships/hyperlink" Target="https://www.cnbc.com/quotes/PDD" TargetMode="External"/><Relationship Id="rId128" Type="http://schemas.openxmlformats.org/officeDocument/2006/relationships/hyperlink" Target="https://www.cnbc.com/quotes/PDD" TargetMode="External"/><Relationship Id="rId127" Type="http://schemas.openxmlformats.org/officeDocument/2006/relationships/hyperlink" Target="https://www.cnbc.com/quotes/PAYX" TargetMode="External"/><Relationship Id="rId126" Type="http://schemas.openxmlformats.org/officeDocument/2006/relationships/hyperlink" Target="https://www.cnbc.com/quotes/PAYX" TargetMode="External"/><Relationship Id="rId121" Type="http://schemas.openxmlformats.org/officeDocument/2006/relationships/hyperlink" Target="https://www.cnbc.com/quotes/ORLY" TargetMode="External"/><Relationship Id="rId120" Type="http://schemas.openxmlformats.org/officeDocument/2006/relationships/hyperlink" Target="https://www.cnbc.com/quotes/ORLY" TargetMode="External"/><Relationship Id="rId125" Type="http://schemas.openxmlformats.org/officeDocument/2006/relationships/hyperlink" Target="https://www.cnbc.com/quotes/PANW" TargetMode="External"/><Relationship Id="rId124" Type="http://schemas.openxmlformats.org/officeDocument/2006/relationships/hyperlink" Target="https://www.cnbc.com/quotes/PANW" TargetMode="External"/><Relationship Id="rId123" Type="http://schemas.openxmlformats.org/officeDocument/2006/relationships/hyperlink" Target="https://www.cnbc.com/quotes/PCAR" TargetMode="External"/><Relationship Id="rId122" Type="http://schemas.openxmlformats.org/officeDocument/2006/relationships/hyperlink" Target="https://www.cnbc.com/quotes/PCAR" TargetMode="External"/><Relationship Id="rId95" Type="http://schemas.openxmlformats.org/officeDocument/2006/relationships/hyperlink" Target="https://www.cnbc.com/quotes/MELI" TargetMode="External"/><Relationship Id="rId94" Type="http://schemas.openxmlformats.org/officeDocument/2006/relationships/hyperlink" Target="https://www.cnbc.com/quotes/MELI" TargetMode="External"/><Relationship Id="rId97" Type="http://schemas.openxmlformats.org/officeDocument/2006/relationships/hyperlink" Target="https://www.cnbc.com/quotes/MAR" TargetMode="External"/><Relationship Id="rId96" Type="http://schemas.openxmlformats.org/officeDocument/2006/relationships/hyperlink" Target="https://www.cnbc.com/quotes/MAR" TargetMode="External"/><Relationship Id="rId99" Type="http://schemas.openxmlformats.org/officeDocument/2006/relationships/hyperlink" Target="https://www.cnbc.com/quotes/MCHP" TargetMode="External"/><Relationship Id="rId98" Type="http://schemas.openxmlformats.org/officeDocument/2006/relationships/hyperlink" Target="https://www.cnbc.com/quotes/MCHP" TargetMode="External"/><Relationship Id="rId91" Type="http://schemas.openxmlformats.org/officeDocument/2006/relationships/hyperlink" Target="https://www.cnbc.com/quotes/LRCX" TargetMode="External"/><Relationship Id="rId90" Type="http://schemas.openxmlformats.org/officeDocument/2006/relationships/hyperlink" Target="https://www.cnbc.com/quotes/LRCX" TargetMode="External"/><Relationship Id="rId93" Type="http://schemas.openxmlformats.org/officeDocument/2006/relationships/hyperlink" Target="https://www.cnbc.com/quotes/LULU" TargetMode="External"/><Relationship Id="rId92" Type="http://schemas.openxmlformats.org/officeDocument/2006/relationships/hyperlink" Target="https://www.cnbc.com/quotes/LULU" TargetMode="External"/><Relationship Id="rId118" Type="http://schemas.openxmlformats.org/officeDocument/2006/relationships/hyperlink" Target="https://www.cnbc.com/quotes/ODFL" TargetMode="External"/><Relationship Id="rId117" Type="http://schemas.openxmlformats.org/officeDocument/2006/relationships/hyperlink" Target="https://www.cnbc.com/quotes/NXPI" TargetMode="External"/><Relationship Id="rId116" Type="http://schemas.openxmlformats.org/officeDocument/2006/relationships/hyperlink" Target="https://www.cnbc.com/quotes/NXPI" TargetMode="External"/><Relationship Id="rId115" Type="http://schemas.openxmlformats.org/officeDocument/2006/relationships/hyperlink" Target="https://www.cnbc.com/quotes/NVDA" TargetMode="External"/><Relationship Id="rId119" Type="http://schemas.openxmlformats.org/officeDocument/2006/relationships/hyperlink" Target="https://www.cnbc.com/quotes/ODFL" TargetMode="External"/><Relationship Id="rId110" Type="http://schemas.openxmlformats.org/officeDocument/2006/relationships/hyperlink" Target="https://www.cnbc.com/quotes/NFLX" TargetMode="External"/><Relationship Id="rId114" Type="http://schemas.openxmlformats.org/officeDocument/2006/relationships/hyperlink" Target="https://www.cnbc.com/quotes/NVDA" TargetMode="External"/><Relationship Id="rId113" Type="http://schemas.openxmlformats.org/officeDocument/2006/relationships/hyperlink" Target="https://www.cnbc.com/quotes/GRAL" TargetMode="External"/><Relationship Id="rId112" Type="http://schemas.openxmlformats.org/officeDocument/2006/relationships/hyperlink" Target="https://www.cnbc.com/quotes/GRAL" TargetMode="External"/><Relationship Id="rId111" Type="http://schemas.openxmlformats.org/officeDocument/2006/relationships/hyperlink" Target="https://www.cnbc.com/quotes/NFLX" TargetMode="External"/><Relationship Id="rId204" Type="http://schemas.openxmlformats.org/officeDocument/2006/relationships/drawing" Target="../drawings/drawing3.xml"/><Relationship Id="rId203" Type="http://schemas.openxmlformats.org/officeDocument/2006/relationships/hyperlink" Target="https://www.cnbc.com/quotes/ADSK" TargetMode="External"/><Relationship Id="rId202" Type="http://schemas.openxmlformats.org/officeDocument/2006/relationships/hyperlink" Target="https://www.cnbc.com/quotes/ADSK" TargetMode="External"/><Relationship Id="rId201" Type="http://schemas.openxmlformats.org/officeDocument/2006/relationships/hyperlink" Target="https://www.cnbc.com/quotes/TEAM" TargetMode="External"/><Relationship Id="rId200" Type="http://schemas.openxmlformats.org/officeDocument/2006/relationships/hyperlink" Target="https://www.cnbc.com/quotes/TEA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 t="s">
        <v>7</v>
      </c>
    </row>
    <row r="9" ht="14.25" customHeight="1">
      <c r="A9" s="2" t="s">
        <v>8</v>
      </c>
    </row>
    <row r="10" ht="14.25" customHeight="1">
      <c r="A10" s="2" t="s">
        <v>9</v>
      </c>
    </row>
    <row r="11" ht="14.25" customHeight="1">
      <c r="A11" s="2" t="s">
        <v>10</v>
      </c>
    </row>
    <row r="12" ht="14.25" customHeight="1">
      <c r="A12" s="2" t="s">
        <v>11</v>
      </c>
    </row>
    <row r="13" ht="14.25" customHeight="1">
      <c r="A13" s="2" t="s">
        <v>12</v>
      </c>
    </row>
    <row r="14" ht="14.25" customHeight="1">
      <c r="A14" s="2" t="s">
        <v>13</v>
      </c>
    </row>
    <row r="15" ht="14.25" customHeight="1">
      <c r="A15" s="2" t="s">
        <v>14</v>
      </c>
    </row>
    <row r="16" ht="14.25" customHeight="1">
      <c r="A16" s="2" t="s">
        <v>15</v>
      </c>
    </row>
    <row r="17" ht="14.25" customHeight="1">
      <c r="A17" s="2" t="s">
        <v>16</v>
      </c>
    </row>
    <row r="18" ht="14.25" customHeight="1">
      <c r="A18" s="2" t="s">
        <v>17</v>
      </c>
    </row>
    <row r="19" ht="14.25" customHeight="1">
      <c r="A19" s="2" t="s">
        <v>18</v>
      </c>
    </row>
    <row r="20" ht="14.25" customHeight="1">
      <c r="A20" s="2" t="s">
        <v>19</v>
      </c>
    </row>
    <row r="21" ht="14.25" customHeight="1">
      <c r="A21" s="2" t="s">
        <v>20</v>
      </c>
    </row>
    <row r="22" ht="14.25" customHeight="1">
      <c r="A22" s="2" t="s">
        <v>21</v>
      </c>
    </row>
    <row r="23" ht="14.25" customHeight="1">
      <c r="A23" s="2" t="s">
        <v>22</v>
      </c>
    </row>
    <row r="24" ht="14.25" customHeight="1">
      <c r="A24" s="2" t="s">
        <v>23</v>
      </c>
    </row>
    <row r="25" ht="14.25" customHeight="1">
      <c r="A25" s="2" t="s">
        <v>24</v>
      </c>
    </row>
    <row r="26" ht="14.25" customHeight="1">
      <c r="A26" s="2" t="s">
        <v>25</v>
      </c>
    </row>
    <row r="27" ht="14.25" customHeight="1">
      <c r="A27" s="2" t="s">
        <v>26</v>
      </c>
    </row>
    <row r="28" ht="14.25" customHeight="1">
      <c r="A28" s="2" t="s">
        <v>27</v>
      </c>
    </row>
    <row r="29" ht="14.25" customHeight="1">
      <c r="A29" s="2" t="s">
        <v>28</v>
      </c>
    </row>
    <row r="30" ht="14.25" customHeight="1">
      <c r="A30" s="2" t="s">
        <v>29</v>
      </c>
    </row>
    <row r="31" ht="14.25" customHeight="1">
      <c r="A31" s="2" t="s">
        <v>30</v>
      </c>
    </row>
    <row r="32" ht="14.25" customHeight="1">
      <c r="A32" s="2" t="s">
        <v>31</v>
      </c>
    </row>
    <row r="33" ht="14.25" customHeight="1">
      <c r="A33" s="2" t="s">
        <v>32</v>
      </c>
    </row>
    <row r="34" ht="14.25" customHeight="1">
      <c r="A34" s="2" t="s">
        <v>33</v>
      </c>
    </row>
    <row r="35" ht="14.25" customHeight="1">
      <c r="A35" s="2" t="s">
        <v>34</v>
      </c>
    </row>
    <row r="36" ht="14.25" customHeight="1">
      <c r="A36" s="2" t="s">
        <v>35</v>
      </c>
    </row>
    <row r="37" ht="14.25" customHeight="1">
      <c r="A37" s="2" t="s">
        <v>36</v>
      </c>
    </row>
    <row r="38" ht="14.25" customHeight="1">
      <c r="A38" s="2" t="s">
        <v>37</v>
      </c>
    </row>
    <row r="39" ht="14.25" customHeight="1">
      <c r="A39" s="2" t="s">
        <v>38</v>
      </c>
    </row>
    <row r="40" ht="14.25" customHeight="1">
      <c r="A40" s="2" t="s">
        <v>39</v>
      </c>
    </row>
    <row r="41" ht="14.25" customHeight="1">
      <c r="A41" s="2" t="s">
        <v>40</v>
      </c>
    </row>
    <row r="42" ht="14.25" customHeight="1">
      <c r="A42" s="2" t="s">
        <v>41</v>
      </c>
    </row>
    <row r="43" ht="14.25" customHeight="1">
      <c r="A43" s="2" t="s">
        <v>42</v>
      </c>
    </row>
    <row r="44" ht="14.25" customHeight="1">
      <c r="A44" s="2" t="s">
        <v>43</v>
      </c>
    </row>
    <row r="45" ht="14.25" customHeight="1">
      <c r="A45" s="2" t="s">
        <v>44</v>
      </c>
    </row>
    <row r="46" ht="14.25" customHeight="1">
      <c r="A46" s="2" t="s">
        <v>45</v>
      </c>
    </row>
    <row r="47" ht="14.25" customHeight="1">
      <c r="A47" s="2" t="s">
        <v>46</v>
      </c>
    </row>
    <row r="48" ht="14.25" customHeight="1">
      <c r="A48" s="2" t="s">
        <v>47</v>
      </c>
    </row>
    <row r="49" ht="14.25" customHeight="1">
      <c r="A49" s="2" t="s">
        <v>48</v>
      </c>
    </row>
    <row r="50" ht="14.25" customHeight="1">
      <c r="A50" s="2" t="s">
        <v>49</v>
      </c>
    </row>
    <row r="51" ht="14.25" customHeight="1">
      <c r="A51" s="2" t="s">
        <v>50</v>
      </c>
    </row>
    <row r="52" ht="14.25" customHeight="1">
      <c r="A52" s="3" t="s">
        <v>51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1"/>
    </row>
    <row r="126" ht="14.25" customHeight="1">
      <c r="A126" s="1"/>
    </row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6" width="8.71"/>
  </cols>
  <sheetData>
    <row r="1" ht="14.25" customHeight="1">
      <c r="A1" s="5" t="s">
        <v>52</v>
      </c>
      <c r="B1" s="3" t="s">
        <v>53</v>
      </c>
      <c r="C1" s="2" t="str">
        <f t="shared" ref="C1:C502" si="1">CONCAT(A1,B1)</f>
        <v>360ONE.NS</v>
      </c>
    </row>
    <row r="2" ht="14.25" customHeight="1">
      <c r="A2" s="5" t="s">
        <v>54</v>
      </c>
      <c r="B2" s="3" t="s">
        <v>53</v>
      </c>
      <c r="C2" s="2" t="str">
        <f t="shared" si="1"/>
        <v>3MINDIA.NS</v>
      </c>
    </row>
    <row r="3" ht="14.25" customHeight="1">
      <c r="A3" s="5" t="s">
        <v>55</v>
      </c>
      <c r="B3" s="3" t="s">
        <v>53</v>
      </c>
      <c r="C3" s="2" t="str">
        <f t="shared" si="1"/>
        <v>ABB.NS</v>
      </c>
    </row>
    <row r="4" ht="14.25" customHeight="1">
      <c r="A4" s="5" t="s">
        <v>56</v>
      </c>
      <c r="B4" s="3" t="s">
        <v>53</v>
      </c>
      <c r="C4" s="2" t="str">
        <f t="shared" si="1"/>
        <v>ACC.NS</v>
      </c>
    </row>
    <row r="5" ht="14.25" customHeight="1">
      <c r="A5" s="5" t="s">
        <v>57</v>
      </c>
      <c r="B5" s="3" t="s">
        <v>53</v>
      </c>
      <c r="C5" s="2" t="str">
        <f t="shared" si="1"/>
        <v>AIAENG.NS</v>
      </c>
    </row>
    <row r="6" ht="14.25" customHeight="1">
      <c r="A6" s="5" t="s">
        <v>58</v>
      </c>
      <c r="B6" s="3" t="s">
        <v>53</v>
      </c>
      <c r="C6" s="2" t="str">
        <f t="shared" si="1"/>
        <v>APLAPOLLO.NS</v>
      </c>
    </row>
    <row r="7" ht="14.25" customHeight="1">
      <c r="A7" s="5" t="s">
        <v>59</v>
      </c>
      <c r="B7" s="3" t="s">
        <v>53</v>
      </c>
      <c r="C7" s="2" t="str">
        <f t="shared" si="1"/>
        <v>AUBANK.NS</v>
      </c>
    </row>
    <row r="8" ht="14.25" customHeight="1">
      <c r="A8" s="5" t="s">
        <v>60</v>
      </c>
      <c r="B8" s="3" t="s">
        <v>53</v>
      </c>
      <c r="C8" s="2" t="str">
        <f t="shared" si="1"/>
        <v>AARTIIND.NS</v>
      </c>
    </row>
    <row r="9" ht="14.25" customHeight="1">
      <c r="A9" s="5" t="s">
        <v>61</v>
      </c>
      <c r="B9" s="3" t="s">
        <v>53</v>
      </c>
      <c r="C9" s="2" t="str">
        <f t="shared" si="1"/>
        <v>AAVAS.NS</v>
      </c>
    </row>
    <row r="10" ht="14.25" customHeight="1">
      <c r="A10" s="5" t="s">
        <v>62</v>
      </c>
      <c r="B10" s="3" t="s">
        <v>53</v>
      </c>
      <c r="C10" s="2" t="str">
        <f t="shared" si="1"/>
        <v>ABBOTINDIA.NS</v>
      </c>
    </row>
    <row r="11" ht="14.25" customHeight="1">
      <c r="A11" s="5" t="s">
        <v>63</v>
      </c>
      <c r="B11" s="3" t="s">
        <v>53</v>
      </c>
      <c r="C11" s="2" t="str">
        <f t="shared" si="1"/>
        <v>ACE.NS</v>
      </c>
    </row>
    <row r="12" ht="14.25" customHeight="1">
      <c r="A12" s="5" t="s">
        <v>64</v>
      </c>
      <c r="B12" s="3" t="s">
        <v>53</v>
      </c>
      <c r="C12" s="2" t="str">
        <f t="shared" si="1"/>
        <v>ADANIENSOL.NS</v>
      </c>
    </row>
    <row r="13" ht="14.25" customHeight="1">
      <c r="A13" s="5" t="s">
        <v>65</v>
      </c>
      <c r="B13" s="3" t="s">
        <v>53</v>
      </c>
      <c r="C13" s="2" t="str">
        <f t="shared" si="1"/>
        <v>ADANIENT.NS</v>
      </c>
    </row>
    <row r="14" ht="14.25" customHeight="1">
      <c r="A14" s="5" t="s">
        <v>66</v>
      </c>
      <c r="B14" s="3" t="s">
        <v>53</v>
      </c>
      <c r="C14" s="2" t="str">
        <f t="shared" si="1"/>
        <v>ADANIGREEN.NS</v>
      </c>
    </row>
    <row r="15" ht="14.25" customHeight="1">
      <c r="A15" s="5" t="s">
        <v>67</v>
      </c>
      <c r="B15" s="3" t="s">
        <v>53</v>
      </c>
      <c r="C15" s="2" t="str">
        <f t="shared" si="1"/>
        <v>ADANIPORTS.NS</v>
      </c>
    </row>
    <row r="16" ht="14.25" customHeight="1">
      <c r="A16" s="5" t="s">
        <v>68</v>
      </c>
      <c r="B16" s="3" t="s">
        <v>53</v>
      </c>
      <c r="C16" s="2" t="str">
        <f t="shared" si="1"/>
        <v>ADANIPOWER.NS</v>
      </c>
    </row>
    <row r="17" ht="14.25" customHeight="1">
      <c r="A17" s="5" t="s">
        <v>69</v>
      </c>
      <c r="B17" s="3" t="s">
        <v>53</v>
      </c>
      <c r="C17" s="2" t="str">
        <f t="shared" si="1"/>
        <v>ATGL.NS</v>
      </c>
    </row>
    <row r="18" ht="14.25" customHeight="1">
      <c r="A18" s="5" t="s">
        <v>70</v>
      </c>
      <c r="B18" s="3" t="s">
        <v>53</v>
      </c>
      <c r="C18" s="2" t="str">
        <f t="shared" si="1"/>
        <v>AWL.NS</v>
      </c>
    </row>
    <row r="19" ht="14.25" customHeight="1">
      <c r="A19" s="5" t="s">
        <v>71</v>
      </c>
      <c r="B19" s="3" t="s">
        <v>53</v>
      </c>
      <c r="C19" s="2" t="str">
        <f t="shared" si="1"/>
        <v>ABCAPITAL.NS</v>
      </c>
    </row>
    <row r="20" ht="14.25" customHeight="1">
      <c r="A20" s="5" t="s">
        <v>72</v>
      </c>
      <c r="B20" s="3" t="s">
        <v>53</v>
      </c>
      <c r="C20" s="2" t="str">
        <f t="shared" si="1"/>
        <v>ABFRL.NS</v>
      </c>
    </row>
    <row r="21" ht="14.25" customHeight="1">
      <c r="A21" s="5" t="s">
        <v>73</v>
      </c>
      <c r="B21" s="3" t="s">
        <v>53</v>
      </c>
      <c r="C21" s="2" t="str">
        <f t="shared" si="1"/>
        <v>AEGISLOG.NS</v>
      </c>
    </row>
    <row r="22" ht="14.25" customHeight="1">
      <c r="A22" s="5" t="s">
        <v>74</v>
      </c>
      <c r="B22" s="3" t="s">
        <v>53</v>
      </c>
      <c r="C22" s="2" t="str">
        <f t="shared" si="1"/>
        <v>AETHER.NS</v>
      </c>
    </row>
    <row r="23" ht="14.25" customHeight="1">
      <c r="A23" s="5" t="s">
        <v>75</v>
      </c>
      <c r="B23" s="3" t="s">
        <v>53</v>
      </c>
      <c r="C23" s="2" t="str">
        <f t="shared" si="1"/>
        <v>AFFLE.NS</v>
      </c>
    </row>
    <row r="24" ht="14.25" customHeight="1">
      <c r="A24" s="5" t="s">
        <v>76</v>
      </c>
      <c r="B24" s="3" t="s">
        <v>53</v>
      </c>
      <c r="C24" s="2" t="str">
        <f t="shared" si="1"/>
        <v>AJANTPHARM.NS</v>
      </c>
    </row>
    <row r="25" ht="14.25" customHeight="1">
      <c r="A25" s="5" t="s">
        <v>77</v>
      </c>
      <c r="B25" s="3" t="s">
        <v>53</v>
      </c>
      <c r="C25" s="2" t="str">
        <f t="shared" si="1"/>
        <v>APLLTD.NS</v>
      </c>
    </row>
    <row r="26" ht="14.25" customHeight="1">
      <c r="A26" s="5" t="s">
        <v>78</v>
      </c>
      <c r="B26" s="3" t="s">
        <v>53</v>
      </c>
      <c r="C26" s="2" t="str">
        <f t="shared" si="1"/>
        <v>ALKEM.NS</v>
      </c>
    </row>
    <row r="27" ht="14.25" customHeight="1">
      <c r="A27" s="5" t="s">
        <v>79</v>
      </c>
      <c r="B27" s="3" t="s">
        <v>53</v>
      </c>
      <c r="C27" s="2" t="str">
        <f t="shared" si="1"/>
        <v>ALKYLAMINE.NS</v>
      </c>
    </row>
    <row r="28" ht="14.25" customHeight="1">
      <c r="A28" s="5" t="s">
        <v>80</v>
      </c>
      <c r="B28" s="3" t="s">
        <v>53</v>
      </c>
      <c r="C28" s="2" t="str">
        <f t="shared" si="1"/>
        <v>ALLCARGO.NS</v>
      </c>
    </row>
    <row r="29" ht="14.25" customHeight="1">
      <c r="A29" s="5" t="s">
        <v>81</v>
      </c>
      <c r="B29" s="3" t="s">
        <v>53</v>
      </c>
      <c r="C29" s="2" t="str">
        <f t="shared" si="1"/>
        <v>ALOKINDS.NS</v>
      </c>
    </row>
    <row r="30" ht="14.25" customHeight="1">
      <c r="A30" s="5" t="s">
        <v>82</v>
      </c>
      <c r="B30" s="3" t="s">
        <v>53</v>
      </c>
      <c r="C30" s="2" t="str">
        <f t="shared" si="1"/>
        <v>ARE&amp;M.NS</v>
      </c>
    </row>
    <row r="31" ht="14.25" customHeight="1">
      <c r="A31" s="5" t="s">
        <v>83</v>
      </c>
      <c r="B31" s="3" t="s">
        <v>53</v>
      </c>
      <c r="C31" s="2" t="str">
        <f t="shared" si="1"/>
        <v>AMBER.NS</v>
      </c>
    </row>
    <row r="32" ht="14.25" customHeight="1">
      <c r="A32" s="5" t="s">
        <v>84</v>
      </c>
      <c r="B32" s="3" t="s">
        <v>53</v>
      </c>
      <c r="C32" s="2" t="str">
        <f t="shared" si="1"/>
        <v>AMBUJACEM.NS</v>
      </c>
    </row>
    <row r="33" ht="14.25" customHeight="1">
      <c r="A33" s="5" t="s">
        <v>85</v>
      </c>
      <c r="B33" s="3" t="s">
        <v>53</v>
      </c>
      <c r="C33" s="2" t="str">
        <f t="shared" si="1"/>
        <v>ANANDRATHI.NS</v>
      </c>
    </row>
    <row r="34" ht="14.25" customHeight="1">
      <c r="A34" s="5" t="s">
        <v>86</v>
      </c>
      <c r="B34" s="3" t="s">
        <v>53</v>
      </c>
      <c r="C34" s="2" t="str">
        <f t="shared" si="1"/>
        <v>ANGELONE.NS</v>
      </c>
    </row>
    <row r="35" ht="14.25" customHeight="1">
      <c r="A35" s="5" t="s">
        <v>87</v>
      </c>
      <c r="B35" s="3" t="s">
        <v>53</v>
      </c>
      <c r="C35" s="2" t="str">
        <f t="shared" si="1"/>
        <v>ANURAS.NS</v>
      </c>
    </row>
    <row r="36" ht="14.25" customHeight="1">
      <c r="A36" s="5" t="s">
        <v>88</v>
      </c>
      <c r="B36" s="3" t="s">
        <v>53</v>
      </c>
      <c r="C36" s="2" t="str">
        <f t="shared" si="1"/>
        <v>APARINDS.NS</v>
      </c>
    </row>
    <row r="37" ht="14.25" customHeight="1">
      <c r="A37" s="5" t="s">
        <v>89</v>
      </c>
      <c r="B37" s="3" t="s">
        <v>53</v>
      </c>
      <c r="C37" s="2" t="str">
        <f t="shared" si="1"/>
        <v>APOLLOHOSP.NS</v>
      </c>
    </row>
    <row r="38" ht="14.25" customHeight="1">
      <c r="A38" s="5" t="s">
        <v>90</v>
      </c>
      <c r="B38" s="3" t="s">
        <v>53</v>
      </c>
      <c r="C38" s="2" t="str">
        <f t="shared" si="1"/>
        <v>APOLLOTYRE.NS</v>
      </c>
    </row>
    <row r="39" ht="14.25" customHeight="1">
      <c r="A39" s="5" t="s">
        <v>91</v>
      </c>
      <c r="B39" s="3" t="s">
        <v>53</v>
      </c>
      <c r="C39" s="2" t="str">
        <f t="shared" si="1"/>
        <v>APTUS.NS</v>
      </c>
    </row>
    <row r="40" ht="14.25" customHeight="1">
      <c r="A40" s="5" t="s">
        <v>92</v>
      </c>
      <c r="B40" s="3" t="s">
        <v>53</v>
      </c>
      <c r="C40" s="2" t="str">
        <f t="shared" si="1"/>
        <v>ACI.NS</v>
      </c>
    </row>
    <row r="41" ht="14.25" customHeight="1">
      <c r="A41" s="5" t="s">
        <v>93</v>
      </c>
      <c r="B41" s="3" t="s">
        <v>53</v>
      </c>
      <c r="C41" s="2" t="str">
        <f t="shared" si="1"/>
        <v>ASAHIINDIA.NS</v>
      </c>
    </row>
    <row r="42" ht="14.25" customHeight="1">
      <c r="A42" s="5" t="s">
        <v>94</v>
      </c>
      <c r="B42" s="3" t="s">
        <v>53</v>
      </c>
      <c r="C42" s="2" t="str">
        <f t="shared" si="1"/>
        <v>ASHOKLEY.NS</v>
      </c>
    </row>
    <row r="43" ht="14.25" customHeight="1">
      <c r="A43" s="5" t="s">
        <v>95</v>
      </c>
      <c r="B43" s="3" t="s">
        <v>53</v>
      </c>
      <c r="C43" s="2" t="str">
        <f t="shared" si="1"/>
        <v>ASIANPAINT.NS</v>
      </c>
    </row>
    <row r="44" ht="14.25" customHeight="1">
      <c r="A44" s="5" t="s">
        <v>96</v>
      </c>
      <c r="B44" s="3" t="s">
        <v>53</v>
      </c>
      <c r="C44" s="2" t="str">
        <f t="shared" si="1"/>
        <v>ASTERDM.NS</v>
      </c>
    </row>
    <row r="45" ht="14.25" customHeight="1">
      <c r="A45" s="5" t="s">
        <v>97</v>
      </c>
      <c r="B45" s="3" t="s">
        <v>53</v>
      </c>
      <c r="C45" s="2" t="str">
        <f t="shared" si="1"/>
        <v>ASTRAZEN.NS</v>
      </c>
    </row>
    <row r="46" ht="14.25" customHeight="1">
      <c r="A46" s="5" t="s">
        <v>98</v>
      </c>
      <c r="B46" s="3" t="s">
        <v>53</v>
      </c>
      <c r="C46" s="2" t="str">
        <f t="shared" si="1"/>
        <v>ASTRAL.NS</v>
      </c>
    </row>
    <row r="47" ht="14.25" customHeight="1">
      <c r="A47" s="5" t="s">
        <v>99</v>
      </c>
      <c r="B47" s="3" t="s">
        <v>53</v>
      </c>
      <c r="C47" s="2" t="str">
        <f t="shared" si="1"/>
        <v>ATUL.NS</v>
      </c>
    </row>
    <row r="48" ht="14.25" customHeight="1">
      <c r="A48" s="5" t="s">
        <v>100</v>
      </c>
      <c r="B48" s="3" t="s">
        <v>53</v>
      </c>
      <c r="C48" s="2" t="str">
        <f t="shared" si="1"/>
        <v>AUROPHARMA.NS</v>
      </c>
    </row>
    <row r="49" ht="14.25" customHeight="1">
      <c r="A49" s="5" t="s">
        <v>101</v>
      </c>
      <c r="B49" s="3" t="s">
        <v>53</v>
      </c>
      <c r="C49" s="2" t="str">
        <f t="shared" si="1"/>
        <v>AVANTIFEED.NS</v>
      </c>
    </row>
    <row r="50" ht="14.25" customHeight="1">
      <c r="A50" s="5" t="s">
        <v>102</v>
      </c>
      <c r="B50" s="3" t="s">
        <v>53</v>
      </c>
      <c r="C50" s="2" t="str">
        <f t="shared" si="1"/>
        <v>DMART.NS</v>
      </c>
    </row>
    <row r="51" ht="14.25" customHeight="1">
      <c r="A51" s="5" t="s">
        <v>103</v>
      </c>
      <c r="B51" s="3" t="s">
        <v>53</v>
      </c>
      <c r="C51" s="2" t="str">
        <f t="shared" si="1"/>
        <v>AXISBANK.NS</v>
      </c>
    </row>
    <row r="52" ht="14.25" customHeight="1">
      <c r="A52" s="5" t="s">
        <v>104</v>
      </c>
      <c r="B52" s="3" t="s">
        <v>53</v>
      </c>
      <c r="C52" s="2" t="str">
        <f t="shared" si="1"/>
        <v>BEML.NS</v>
      </c>
    </row>
    <row r="53" ht="14.25" customHeight="1">
      <c r="A53" s="5" t="s">
        <v>105</v>
      </c>
      <c r="B53" s="3" t="s">
        <v>53</v>
      </c>
      <c r="C53" s="2" t="str">
        <f t="shared" si="1"/>
        <v>BLS.NS</v>
      </c>
    </row>
    <row r="54" ht="14.25" customHeight="1">
      <c r="A54" s="5" t="s">
        <v>106</v>
      </c>
      <c r="B54" s="3" t="s">
        <v>53</v>
      </c>
      <c r="C54" s="2" t="str">
        <f t="shared" si="1"/>
        <v>BSE.NS</v>
      </c>
    </row>
    <row r="55" ht="14.25" customHeight="1">
      <c r="A55" s="5" t="s">
        <v>107</v>
      </c>
      <c r="B55" s="3" t="s">
        <v>53</v>
      </c>
      <c r="C55" s="2" t="str">
        <f t="shared" si="1"/>
        <v>BAJAJ-AUTO.NS</v>
      </c>
    </row>
    <row r="56" ht="14.25" customHeight="1">
      <c r="A56" s="5" t="s">
        <v>108</v>
      </c>
      <c r="B56" s="3" t="s">
        <v>53</v>
      </c>
      <c r="C56" s="2" t="str">
        <f t="shared" si="1"/>
        <v>BAJFINANCE.NS</v>
      </c>
    </row>
    <row r="57" ht="14.25" customHeight="1">
      <c r="A57" s="5" t="s">
        <v>109</v>
      </c>
      <c r="B57" s="3" t="s">
        <v>53</v>
      </c>
      <c r="C57" s="2" t="str">
        <f t="shared" si="1"/>
        <v>BAJAJFINSV.NS</v>
      </c>
    </row>
    <row r="58" ht="14.25" customHeight="1">
      <c r="A58" s="5" t="s">
        <v>110</v>
      </c>
      <c r="B58" s="3" t="s">
        <v>53</v>
      </c>
      <c r="C58" s="2" t="str">
        <f t="shared" si="1"/>
        <v>BAJAJHLDNG.NS</v>
      </c>
    </row>
    <row r="59" ht="14.25" customHeight="1">
      <c r="A59" s="5" t="s">
        <v>111</v>
      </c>
      <c r="B59" s="3" t="s">
        <v>53</v>
      </c>
      <c r="C59" s="2" t="str">
        <f t="shared" si="1"/>
        <v>BALAMINES.NS</v>
      </c>
    </row>
    <row r="60" ht="14.25" customHeight="1">
      <c r="A60" s="5" t="s">
        <v>112</v>
      </c>
      <c r="B60" s="3" t="s">
        <v>53</v>
      </c>
      <c r="C60" s="2" t="str">
        <f t="shared" si="1"/>
        <v>BALKRISIND.NS</v>
      </c>
    </row>
    <row r="61" ht="14.25" customHeight="1">
      <c r="A61" s="5" t="s">
        <v>113</v>
      </c>
      <c r="B61" s="3" t="s">
        <v>53</v>
      </c>
      <c r="C61" s="2" t="str">
        <f t="shared" si="1"/>
        <v>BALRAMCHIN.NS</v>
      </c>
    </row>
    <row r="62" ht="14.25" customHeight="1">
      <c r="A62" s="5" t="s">
        <v>114</v>
      </c>
      <c r="B62" s="3" t="s">
        <v>53</v>
      </c>
      <c r="C62" s="2" t="str">
        <f t="shared" si="1"/>
        <v>BANDHANBNK.NS</v>
      </c>
    </row>
    <row r="63" ht="14.25" customHeight="1">
      <c r="A63" s="5" t="s">
        <v>115</v>
      </c>
      <c r="B63" s="3" t="s">
        <v>53</v>
      </c>
      <c r="C63" s="2" t="str">
        <f t="shared" si="1"/>
        <v>BANKBARODA.NS</v>
      </c>
    </row>
    <row r="64" ht="14.25" customHeight="1">
      <c r="A64" s="5" t="s">
        <v>116</v>
      </c>
      <c r="B64" s="3" t="s">
        <v>53</v>
      </c>
      <c r="C64" s="2" t="str">
        <f t="shared" si="1"/>
        <v>BANKINDIA.NS</v>
      </c>
    </row>
    <row r="65" ht="14.25" customHeight="1">
      <c r="A65" s="5" t="s">
        <v>117</v>
      </c>
      <c r="B65" s="3" t="s">
        <v>53</v>
      </c>
      <c r="C65" s="2" t="str">
        <f t="shared" si="1"/>
        <v>MAHABANK.NS</v>
      </c>
    </row>
    <row r="66" ht="14.25" customHeight="1">
      <c r="A66" s="5" t="s">
        <v>118</v>
      </c>
      <c r="B66" s="3" t="s">
        <v>53</v>
      </c>
      <c r="C66" s="2" t="str">
        <f t="shared" si="1"/>
        <v>BATAINDIA.NS</v>
      </c>
    </row>
    <row r="67" ht="14.25" customHeight="1">
      <c r="A67" s="5" t="s">
        <v>119</v>
      </c>
      <c r="B67" s="3" t="s">
        <v>53</v>
      </c>
      <c r="C67" s="2" t="str">
        <f t="shared" si="1"/>
        <v>BAYERCROP.NS</v>
      </c>
    </row>
    <row r="68" ht="14.25" customHeight="1">
      <c r="A68" s="5" t="s">
        <v>120</v>
      </c>
      <c r="B68" s="3" t="s">
        <v>53</v>
      </c>
      <c r="C68" s="2" t="str">
        <f t="shared" si="1"/>
        <v>BERGEPAINT.NS</v>
      </c>
    </row>
    <row r="69" ht="14.25" customHeight="1">
      <c r="A69" s="5" t="s">
        <v>121</v>
      </c>
      <c r="B69" s="3" t="s">
        <v>53</v>
      </c>
      <c r="C69" s="2" t="str">
        <f t="shared" si="1"/>
        <v>BDL.NS</v>
      </c>
    </row>
    <row r="70" ht="14.25" customHeight="1">
      <c r="A70" s="5" t="s">
        <v>122</v>
      </c>
      <c r="B70" s="3" t="s">
        <v>53</v>
      </c>
      <c r="C70" s="2" t="str">
        <f t="shared" si="1"/>
        <v>BEL.NS</v>
      </c>
    </row>
    <row r="71" ht="14.25" customHeight="1">
      <c r="A71" s="5" t="s">
        <v>123</v>
      </c>
      <c r="B71" s="3" t="s">
        <v>53</v>
      </c>
      <c r="C71" s="2" t="str">
        <f t="shared" si="1"/>
        <v>BHARATFORG.NS</v>
      </c>
    </row>
    <row r="72" ht="14.25" customHeight="1">
      <c r="A72" s="5" t="s">
        <v>124</v>
      </c>
      <c r="B72" s="3" t="s">
        <v>53</v>
      </c>
      <c r="C72" s="2" t="str">
        <f t="shared" si="1"/>
        <v>BHEL.NS</v>
      </c>
    </row>
    <row r="73" ht="14.25" customHeight="1">
      <c r="A73" s="5" t="s">
        <v>125</v>
      </c>
      <c r="B73" s="3" t="s">
        <v>53</v>
      </c>
      <c r="C73" s="2" t="str">
        <f t="shared" si="1"/>
        <v>BPCL.NS</v>
      </c>
    </row>
    <row r="74" ht="14.25" customHeight="1">
      <c r="A74" s="5" t="s">
        <v>126</v>
      </c>
      <c r="B74" s="3" t="s">
        <v>53</v>
      </c>
      <c r="C74" s="2" t="str">
        <f t="shared" si="1"/>
        <v>BHARTIARTL.NS</v>
      </c>
    </row>
    <row r="75" ht="14.25" customHeight="1">
      <c r="A75" s="5" t="s">
        <v>127</v>
      </c>
      <c r="B75" s="3" t="s">
        <v>53</v>
      </c>
      <c r="C75" s="2" t="str">
        <f t="shared" si="1"/>
        <v>BIKAJI.NS</v>
      </c>
    </row>
    <row r="76" ht="14.25" customHeight="1">
      <c r="A76" s="5" t="s">
        <v>128</v>
      </c>
      <c r="B76" s="3" t="s">
        <v>53</v>
      </c>
      <c r="C76" s="2" t="str">
        <f t="shared" si="1"/>
        <v>BIOCON.NS</v>
      </c>
    </row>
    <row r="77" ht="14.25" customHeight="1">
      <c r="A77" s="5" t="s">
        <v>129</v>
      </c>
      <c r="B77" s="3" t="s">
        <v>53</v>
      </c>
      <c r="C77" s="2" t="str">
        <f t="shared" si="1"/>
        <v>BIRLACORPN.NS</v>
      </c>
    </row>
    <row r="78" ht="14.25" customHeight="1">
      <c r="A78" s="5" t="s">
        <v>130</v>
      </c>
      <c r="B78" s="3" t="s">
        <v>53</v>
      </c>
      <c r="C78" s="2" t="str">
        <f t="shared" si="1"/>
        <v>BSOFT.NS</v>
      </c>
    </row>
    <row r="79" ht="14.25" customHeight="1">
      <c r="A79" s="5" t="s">
        <v>131</v>
      </c>
      <c r="B79" s="3" t="s">
        <v>53</v>
      </c>
      <c r="C79" s="2" t="str">
        <f t="shared" si="1"/>
        <v>BLUEDART.NS</v>
      </c>
    </row>
    <row r="80" ht="14.25" customHeight="1">
      <c r="A80" s="5" t="s">
        <v>132</v>
      </c>
      <c r="B80" s="3" t="s">
        <v>53</v>
      </c>
      <c r="C80" s="2" t="str">
        <f t="shared" si="1"/>
        <v>BLUESTARCO.NS</v>
      </c>
    </row>
    <row r="81" ht="14.25" customHeight="1">
      <c r="A81" s="5" t="s">
        <v>133</v>
      </c>
      <c r="B81" s="3" t="s">
        <v>53</v>
      </c>
      <c r="C81" s="2" t="str">
        <f t="shared" si="1"/>
        <v>BBTC.NS</v>
      </c>
    </row>
    <row r="82" ht="14.25" customHeight="1">
      <c r="A82" s="5" t="s">
        <v>134</v>
      </c>
      <c r="B82" s="3" t="s">
        <v>53</v>
      </c>
      <c r="C82" s="2" t="str">
        <f t="shared" si="1"/>
        <v>BORORENEW.NS</v>
      </c>
    </row>
    <row r="83" ht="14.25" customHeight="1">
      <c r="A83" s="5" t="s">
        <v>135</v>
      </c>
      <c r="B83" s="3" t="s">
        <v>53</v>
      </c>
      <c r="C83" s="2" t="str">
        <f t="shared" si="1"/>
        <v>BOSCHLTD.NS</v>
      </c>
    </row>
    <row r="84" ht="14.25" customHeight="1">
      <c r="A84" s="5" t="s">
        <v>136</v>
      </c>
      <c r="B84" s="3" t="s">
        <v>53</v>
      </c>
      <c r="C84" s="2" t="str">
        <f t="shared" si="1"/>
        <v>BRIGADE.NS</v>
      </c>
    </row>
    <row r="85" ht="14.25" customHeight="1">
      <c r="A85" s="5" t="s">
        <v>137</v>
      </c>
      <c r="B85" s="3" t="s">
        <v>53</v>
      </c>
      <c r="C85" s="2" t="str">
        <f t="shared" si="1"/>
        <v>BRITANNIA.NS</v>
      </c>
    </row>
    <row r="86" ht="14.25" customHeight="1">
      <c r="A86" s="5" t="s">
        <v>138</v>
      </c>
      <c r="B86" s="3" t="s">
        <v>53</v>
      </c>
      <c r="C86" s="2" t="str">
        <f t="shared" si="1"/>
        <v>MAPMYINDIA.NS</v>
      </c>
    </row>
    <row r="87" ht="14.25" customHeight="1">
      <c r="A87" s="5" t="s">
        <v>139</v>
      </c>
      <c r="B87" s="3" t="s">
        <v>53</v>
      </c>
      <c r="C87" s="2" t="str">
        <f t="shared" si="1"/>
        <v>CCL.NS</v>
      </c>
    </row>
    <row r="88" ht="14.25" customHeight="1">
      <c r="A88" s="5" t="s">
        <v>140</v>
      </c>
      <c r="B88" s="3" t="s">
        <v>53</v>
      </c>
      <c r="C88" s="2" t="str">
        <f t="shared" si="1"/>
        <v>CESC.NS</v>
      </c>
    </row>
    <row r="89" ht="14.25" customHeight="1">
      <c r="A89" s="5" t="s">
        <v>141</v>
      </c>
      <c r="B89" s="3" t="s">
        <v>53</v>
      </c>
      <c r="C89" s="2" t="str">
        <f t="shared" si="1"/>
        <v>CGPOWER.NS</v>
      </c>
    </row>
    <row r="90" ht="14.25" customHeight="1">
      <c r="A90" s="5" t="s">
        <v>142</v>
      </c>
      <c r="B90" s="3" t="s">
        <v>53</v>
      </c>
      <c r="C90" s="2" t="str">
        <f t="shared" si="1"/>
        <v>CIEINDIA.NS</v>
      </c>
    </row>
    <row r="91" ht="14.25" customHeight="1">
      <c r="A91" s="5" t="s">
        <v>143</v>
      </c>
      <c r="B91" s="3" t="s">
        <v>53</v>
      </c>
      <c r="C91" s="2" t="str">
        <f t="shared" si="1"/>
        <v>CRISIL.NS</v>
      </c>
    </row>
    <row r="92" ht="14.25" customHeight="1">
      <c r="A92" s="5" t="s">
        <v>144</v>
      </c>
      <c r="B92" s="3" t="s">
        <v>53</v>
      </c>
      <c r="C92" s="2" t="str">
        <f t="shared" si="1"/>
        <v>CSBBANK.NS</v>
      </c>
    </row>
    <row r="93" ht="14.25" customHeight="1">
      <c r="A93" s="5" t="s">
        <v>145</v>
      </c>
      <c r="B93" s="3" t="s">
        <v>53</v>
      </c>
      <c r="C93" s="2" t="str">
        <f t="shared" si="1"/>
        <v>CAMPUS.NS</v>
      </c>
    </row>
    <row r="94" ht="14.25" customHeight="1">
      <c r="A94" s="5" t="s">
        <v>146</v>
      </c>
      <c r="B94" s="3" t="s">
        <v>53</v>
      </c>
      <c r="C94" s="2" t="str">
        <f t="shared" si="1"/>
        <v>CANFINHOME.NS</v>
      </c>
    </row>
    <row r="95" ht="14.25" customHeight="1">
      <c r="A95" s="5" t="s">
        <v>147</v>
      </c>
      <c r="B95" s="3" t="s">
        <v>53</v>
      </c>
      <c r="C95" s="2" t="str">
        <f t="shared" si="1"/>
        <v>CANBK.NS</v>
      </c>
    </row>
    <row r="96" ht="14.25" customHeight="1">
      <c r="A96" s="5" t="s">
        <v>148</v>
      </c>
      <c r="B96" s="3" t="s">
        <v>53</v>
      </c>
      <c r="C96" s="2" t="str">
        <f t="shared" si="1"/>
        <v>CAPLIPOINT.NS</v>
      </c>
    </row>
    <row r="97" ht="14.25" customHeight="1">
      <c r="A97" s="5" t="s">
        <v>149</v>
      </c>
      <c r="B97" s="3" t="s">
        <v>53</v>
      </c>
      <c r="C97" s="2" t="str">
        <f t="shared" si="1"/>
        <v>CGCL.NS</v>
      </c>
    </row>
    <row r="98" ht="14.25" customHeight="1">
      <c r="A98" s="5" t="s">
        <v>150</v>
      </c>
      <c r="B98" s="3" t="s">
        <v>53</v>
      </c>
      <c r="C98" s="2" t="str">
        <f t="shared" si="1"/>
        <v>CARBORUNIV.NS</v>
      </c>
    </row>
    <row r="99" ht="14.25" customHeight="1">
      <c r="A99" s="5" t="s">
        <v>151</v>
      </c>
      <c r="B99" s="3" t="s">
        <v>53</v>
      </c>
      <c r="C99" s="2" t="str">
        <f t="shared" si="1"/>
        <v>CASTROLIND.NS</v>
      </c>
    </row>
    <row r="100" ht="14.25" customHeight="1">
      <c r="A100" s="5" t="s">
        <v>152</v>
      </c>
      <c r="B100" s="3" t="s">
        <v>53</v>
      </c>
      <c r="C100" s="2" t="str">
        <f t="shared" si="1"/>
        <v>CEATLTD.NS</v>
      </c>
    </row>
    <row r="101" ht="14.25" customHeight="1">
      <c r="A101" s="5" t="s">
        <v>153</v>
      </c>
      <c r="B101" s="3" t="s">
        <v>53</v>
      </c>
      <c r="C101" s="2" t="str">
        <f t="shared" si="1"/>
        <v>CELLO.NS</v>
      </c>
    </row>
    <row r="102" ht="14.25" customHeight="1">
      <c r="A102" s="5" t="s">
        <v>154</v>
      </c>
      <c r="B102" s="3" t="s">
        <v>53</v>
      </c>
      <c r="C102" s="2" t="str">
        <f t="shared" si="1"/>
        <v>CENTRALBK.NS</v>
      </c>
    </row>
    <row r="103" ht="14.25" customHeight="1">
      <c r="A103" s="5" t="s">
        <v>155</v>
      </c>
      <c r="B103" s="3" t="s">
        <v>53</v>
      </c>
      <c r="C103" s="2" t="str">
        <f t="shared" si="1"/>
        <v>CDSL.NS</v>
      </c>
    </row>
    <row r="104" ht="14.25" customHeight="1">
      <c r="A104" s="5" t="s">
        <v>156</v>
      </c>
      <c r="B104" s="3" t="s">
        <v>53</v>
      </c>
      <c r="C104" s="2" t="str">
        <f t="shared" si="1"/>
        <v>CENTURYPLY.NS</v>
      </c>
    </row>
    <row r="105" ht="14.25" customHeight="1">
      <c r="A105" s="5" t="s">
        <v>157</v>
      </c>
      <c r="B105" s="3" t="s">
        <v>53</v>
      </c>
      <c r="C105" s="2" t="str">
        <f t="shared" si="1"/>
        <v>CENTURYTEX.NS</v>
      </c>
    </row>
    <row r="106" ht="14.25" customHeight="1">
      <c r="A106" s="5" t="s">
        <v>158</v>
      </c>
      <c r="B106" s="3" t="s">
        <v>53</v>
      </c>
      <c r="C106" s="2" t="str">
        <f t="shared" si="1"/>
        <v>CERA.NS</v>
      </c>
    </row>
    <row r="107" ht="14.25" customHeight="1">
      <c r="A107" s="5" t="s">
        <v>159</v>
      </c>
      <c r="B107" s="3" t="s">
        <v>53</v>
      </c>
      <c r="C107" s="2" t="str">
        <f t="shared" si="1"/>
        <v>CHALET.NS</v>
      </c>
    </row>
    <row r="108" ht="14.25" customHeight="1">
      <c r="A108" s="5" t="s">
        <v>160</v>
      </c>
      <c r="B108" s="3" t="s">
        <v>53</v>
      </c>
      <c r="C108" s="2" t="str">
        <f t="shared" si="1"/>
        <v>CHAMBLFERT.NS</v>
      </c>
    </row>
    <row r="109" ht="14.25" customHeight="1">
      <c r="A109" s="5" t="s">
        <v>161</v>
      </c>
      <c r="B109" s="3" t="s">
        <v>53</v>
      </c>
      <c r="C109" s="2" t="str">
        <f t="shared" si="1"/>
        <v>CHEMPLASTS.NS</v>
      </c>
    </row>
    <row r="110" ht="14.25" customHeight="1">
      <c r="A110" s="5" t="s">
        <v>162</v>
      </c>
      <c r="B110" s="3" t="s">
        <v>53</v>
      </c>
      <c r="C110" s="2" t="str">
        <f t="shared" si="1"/>
        <v>CHENNPETRO.NS</v>
      </c>
    </row>
    <row r="111" ht="14.25" customHeight="1">
      <c r="A111" s="5" t="s">
        <v>163</v>
      </c>
      <c r="B111" s="3" t="s">
        <v>53</v>
      </c>
      <c r="C111" s="2" t="str">
        <f t="shared" si="1"/>
        <v>CHOLAHLDNG.NS</v>
      </c>
    </row>
    <row r="112" ht="14.25" customHeight="1">
      <c r="A112" s="5" t="s">
        <v>164</v>
      </c>
      <c r="B112" s="3" t="s">
        <v>53</v>
      </c>
      <c r="C112" s="2" t="str">
        <f t="shared" si="1"/>
        <v>CHOLAFIN.NS</v>
      </c>
    </row>
    <row r="113" ht="14.25" customHeight="1">
      <c r="A113" s="5" t="s">
        <v>165</v>
      </c>
      <c r="B113" s="3" t="s">
        <v>53</v>
      </c>
      <c r="C113" s="2" t="str">
        <f t="shared" si="1"/>
        <v>CIPLA.NS</v>
      </c>
    </row>
    <row r="114" ht="14.25" customHeight="1">
      <c r="A114" s="5" t="s">
        <v>166</v>
      </c>
      <c r="B114" s="3" t="s">
        <v>53</v>
      </c>
      <c r="C114" s="2" t="str">
        <f t="shared" si="1"/>
        <v>CUB.NS</v>
      </c>
    </row>
    <row r="115" ht="14.25" customHeight="1">
      <c r="A115" s="5" t="s">
        <v>167</v>
      </c>
      <c r="B115" s="3" t="s">
        <v>53</v>
      </c>
      <c r="C115" s="2" t="str">
        <f t="shared" si="1"/>
        <v>CLEAN.NS</v>
      </c>
    </row>
    <row r="116" ht="14.25" customHeight="1">
      <c r="A116" s="5" t="s">
        <v>168</v>
      </c>
      <c r="B116" s="3" t="s">
        <v>53</v>
      </c>
      <c r="C116" s="2" t="str">
        <f t="shared" si="1"/>
        <v>COALINDIA.NS</v>
      </c>
    </row>
    <row r="117" ht="14.25" customHeight="1">
      <c r="A117" s="5" t="s">
        <v>169</v>
      </c>
      <c r="B117" s="3" t="s">
        <v>53</v>
      </c>
      <c r="C117" s="2" t="str">
        <f t="shared" si="1"/>
        <v>COCHINSHIP.NS</v>
      </c>
    </row>
    <row r="118" ht="14.25" customHeight="1">
      <c r="A118" s="5" t="s">
        <v>170</v>
      </c>
      <c r="B118" s="3" t="s">
        <v>53</v>
      </c>
      <c r="C118" s="2" t="str">
        <f t="shared" si="1"/>
        <v>COFORGE.NS</v>
      </c>
    </row>
    <row r="119" ht="14.25" customHeight="1">
      <c r="A119" s="5" t="s">
        <v>171</v>
      </c>
      <c r="B119" s="3" t="s">
        <v>53</v>
      </c>
      <c r="C119" s="2" t="str">
        <f t="shared" si="1"/>
        <v>COLPAL.NS</v>
      </c>
    </row>
    <row r="120" ht="14.25" customHeight="1">
      <c r="A120" s="5" t="s">
        <v>172</v>
      </c>
      <c r="B120" s="3" t="s">
        <v>53</v>
      </c>
      <c r="C120" s="2" t="str">
        <f t="shared" si="1"/>
        <v>CAMS.NS</v>
      </c>
    </row>
    <row r="121" ht="14.25" customHeight="1">
      <c r="A121" s="5" t="s">
        <v>173</v>
      </c>
      <c r="B121" s="3" t="s">
        <v>53</v>
      </c>
      <c r="C121" s="2" t="str">
        <f t="shared" si="1"/>
        <v>CONCORDBIO.NS</v>
      </c>
    </row>
    <row r="122" ht="14.25" customHeight="1">
      <c r="A122" s="5" t="s">
        <v>174</v>
      </c>
      <c r="B122" s="3" t="s">
        <v>53</v>
      </c>
      <c r="C122" s="2" t="str">
        <f t="shared" si="1"/>
        <v>CONCOR.NS</v>
      </c>
    </row>
    <row r="123" ht="14.25" customHeight="1">
      <c r="A123" s="5" t="s">
        <v>175</v>
      </c>
      <c r="B123" s="3" t="s">
        <v>53</v>
      </c>
      <c r="C123" s="2" t="str">
        <f t="shared" si="1"/>
        <v>COROMANDEL.NS</v>
      </c>
    </row>
    <row r="124" ht="14.25" customHeight="1">
      <c r="A124" s="5" t="s">
        <v>176</v>
      </c>
      <c r="B124" s="3" t="s">
        <v>53</v>
      </c>
      <c r="C124" s="2" t="str">
        <f t="shared" si="1"/>
        <v>CRAFTSMAN.NS</v>
      </c>
    </row>
    <row r="125" ht="14.25" customHeight="1">
      <c r="A125" s="5" t="s">
        <v>177</v>
      </c>
      <c r="B125" s="3" t="s">
        <v>53</v>
      </c>
      <c r="C125" s="2" t="str">
        <f t="shared" si="1"/>
        <v>CREDITACC.NS</v>
      </c>
    </row>
    <row r="126" ht="14.25" customHeight="1">
      <c r="A126" s="5" t="s">
        <v>178</v>
      </c>
      <c r="B126" s="3" t="s">
        <v>53</v>
      </c>
      <c r="C126" s="2" t="str">
        <f t="shared" si="1"/>
        <v>CROMPTON.NS</v>
      </c>
    </row>
    <row r="127" ht="14.25" customHeight="1">
      <c r="A127" s="5" t="s">
        <v>179</v>
      </c>
      <c r="B127" s="3" t="s">
        <v>53</v>
      </c>
      <c r="C127" s="2" t="str">
        <f t="shared" si="1"/>
        <v>CUMMINSIND.NS</v>
      </c>
    </row>
    <row r="128" ht="14.25" customHeight="1">
      <c r="A128" s="5" t="s">
        <v>180</v>
      </c>
      <c r="B128" s="3" t="s">
        <v>53</v>
      </c>
      <c r="C128" s="2" t="str">
        <f t="shared" si="1"/>
        <v>CYIENT.NS</v>
      </c>
    </row>
    <row r="129" ht="14.25" customHeight="1">
      <c r="A129" s="5" t="s">
        <v>181</v>
      </c>
      <c r="B129" s="3" t="s">
        <v>53</v>
      </c>
      <c r="C129" s="2" t="str">
        <f t="shared" si="1"/>
        <v>DCMSHRIRAM.NS</v>
      </c>
    </row>
    <row r="130" ht="14.25" customHeight="1">
      <c r="A130" s="5" t="s">
        <v>182</v>
      </c>
      <c r="B130" s="3" t="s">
        <v>53</v>
      </c>
      <c r="C130" s="2" t="str">
        <f t="shared" si="1"/>
        <v>DLF.NS</v>
      </c>
    </row>
    <row r="131" ht="14.25" customHeight="1">
      <c r="A131" s="5" t="s">
        <v>183</v>
      </c>
      <c r="B131" s="3" t="s">
        <v>53</v>
      </c>
      <c r="C131" s="2" t="str">
        <f t="shared" si="1"/>
        <v>DOMS.NS</v>
      </c>
    </row>
    <row r="132" ht="14.25" customHeight="1">
      <c r="A132" s="5" t="s">
        <v>184</v>
      </c>
      <c r="B132" s="3" t="s">
        <v>53</v>
      </c>
      <c r="C132" s="2" t="str">
        <f t="shared" si="1"/>
        <v>DABUR.NS</v>
      </c>
    </row>
    <row r="133" ht="14.25" customHeight="1">
      <c r="A133" s="5" t="s">
        <v>185</v>
      </c>
      <c r="B133" s="3" t="s">
        <v>53</v>
      </c>
      <c r="C133" s="2" t="str">
        <f t="shared" si="1"/>
        <v>DALBHARAT.NS</v>
      </c>
    </row>
    <row r="134" ht="14.25" customHeight="1">
      <c r="A134" s="5" t="s">
        <v>186</v>
      </c>
      <c r="B134" s="3" t="s">
        <v>53</v>
      </c>
      <c r="C134" s="2" t="str">
        <f t="shared" si="1"/>
        <v>DATAPATTNS.NS</v>
      </c>
    </row>
    <row r="135" ht="14.25" customHeight="1">
      <c r="A135" s="5" t="s">
        <v>187</v>
      </c>
      <c r="B135" s="3" t="s">
        <v>53</v>
      </c>
      <c r="C135" s="2" t="str">
        <f t="shared" si="1"/>
        <v>DEEPAKFERT.NS</v>
      </c>
    </row>
    <row r="136" ht="14.25" customHeight="1">
      <c r="A136" s="5" t="s">
        <v>188</v>
      </c>
      <c r="B136" s="3" t="s">
        <v>53</v>
      </c>
      <c r="C136" s="2" t="str">
        <f t="shared" si="1"/>
        <v>DEEPAKNTR.NS</v>
      </c>
    </row>
    <row r="137" ht="14.25" customHeight="1">
      <c r="A137" s="5" t="s">
        <v>189</v>
      </c>
      <c r="B137" s="3" t="s">
        <v>53</v>
      </c>
      <c r="C137" s="2" t="str">
        <f t="shared" si="1"/>
        <v>DELHIVERY.NS</v>
      </c>
    </row>
    <row r="138" ht="14.25" customHeight="1">
      <c r="A138" s="5" t="s">
        <v>190</v>
      </c>
      <c r="B138" s="3" t="s">
        <v>53</v>
      </c>
      <c r="C138" s="2" t="str">
        <f t="shared" si="1"/>
        <v>DEVYANI.NS</v>
      </c>
    </row>
    <row r="139" ht="14.25" customHeight="1">
      <c r="A139" s="5" t="s">
        <v>191</v>
      </c>
      <c r="B139" s="3" t="s">
        <v>53</v>
      </c>
      <c r="C139" s="2" t="str">
        <f t="shared" si="1"/>
        <v>DIVISLAB.NS</v>
      </c>
    </row>
    <row r="140" ht="14.25" customHeight="1">
      <c r="A140" s="5" t="s">
        <v>192</v>
      </c>
      <c r="B140" s="3" t="s">
        <v>53</v>
      </c>
      <c r="C140" s="2" t="str">
        <f t="shared" si="1"/>
        <v>DIXON.NS</v>
      </c>
    </row>
    <row r="141" ht="14.25" customHeight="1">
      <c r="A141" s="5" t="s">
        <v>193</v>
      </c>
      <c r="B141" s="3" t="s">
        <v>53</v>
      </c>
      <c r="C141" s="2" t="str">
        <f t="shared" si="1"/>
        <v>LALPATHLAB.NS</v>
      </c>
    </row>
    <row r="142" ht="14.25" customHeight="1">
      <c r="A142" s="5" t="s">
        <v>194</v>
      </c>
      <c r="B142" s="3" t="s">
        <v>53</v>
      </c>
      <c r="C142" s="2" t="str">
        <f t="shared" si="1"/>
        <v>DRREDDY.NS</v>
      </c>
    </row>
    <row r="143" ht="14.25" customHeight="1">
      <c r="A143" s="5" t="s">
        <v>195</v>
      </c>
      <c r="B143" s="3" t="s">
        <v>53</v>
      </c>
      <c r="C143" s="2" t="str">
        <f t="shared" si="1"/>
        <v>DUMMYSANOF.NS</v>
      </c>
    </row>
    <row r="144" ht="14.25" customHeight="1">
      <c r="A144" s="5" t="s">
        <v>196</v>
      </c>
      <c r="B144" s="3" t="s">
        <v>53</v>
      </c>
      <c r="C144" s="2" t="str">
        <f t="shared" si="1"/>
        <v>EIDPARRY.NS</v>
      </c>
    </row>
    <row r="145" ht="14.25" customHeight="1">
      <c r="A145" s="5" t="s">
        <v>197</v>
      </c>
      <c r="B145" s="3" t="s">
        <v>53</v>
      </c>
      <c r="C145" s="2" t="str">
        <f t="shared" si="1"/>
        <v>EIHOTEL.NS</v>
      </c>
    </row>
    <row r="146" ht="14.25" customHeight="1">
      <c r="A146" s="5" t="s">
        <v>198</v>
      </c>
      <c r="B146" s="3" t="s">
        <v>53</v>
      </c>
      <c r="C146" s="2" t="str">
        <f t="shared" si="1"/>
        <v>EPL.NS</v>
      </c>
    </row>
    <row r="147" ht="14.25" customHeight="1">
      <c r="A147" s="5" t="s">
        <v>199</v>
      </c>
      <c r="B147" s="3" t="s">
        <v>53</v>
      </c>
      <c r="C147" s="2" t="str">
        <f t="shared" si="1"/>
        <v>EASEMYTRIP.NS</v>
      </c>
    </row>
    <row r="148" ht="14.25" customHeight="1">
      <c r="A148" s="5" t="s">
        <v>200</v>
      </c>
      <c r="B148" s="3" t="s">
        <v>53</v>
      </c>
      <c r="C148" s="2" t="str">
        <f t="shared" si="1"/>
        <v>EICHERMOT.NS</v>
      </c>
    </row>
    <row r="149" ht="14.25" customHeight="1">
      <c r="A149" s="5" t="s">
        <v>201</v>
      </c>
      <c r="B149" s="3" t="s">
        <v>53</v>
      </c>
      <c r="C149" s="2" t="str">
        <f t="shared" si="1"/>
        <v>ELECON.NS</v>
      </c>
    </row>
    <row r="150" ht="14.25" customHeight="1">
      <c r="A150" s="5" t="s">
        <v>202</v>
      </c>
      <c r="B150" s="3" t="s">
        <v>53</v>
      </c>
      <c r="C150" s="2" t="str">
        <f t="shared" si="1"/>
        <v>ELGIEQUIP.NS</v>
      </c>
    </row>
    <row r="151" ht="14.25" customHeight="1">
      <c r="A151" s="5" t="s">
        <v>203</v>
      </c>
      <c r="B151" s="3" t="s">
        <v>53</v>
      </c>
      <c r="C151" s="2" t="str">
        <f t="shared" si="1"/>
        <v>EMAMILTD.NS</v>
      </c>
    </row>
    <row r="152" ht="14.25" customHeight="1">
      <c r="A152" s="5" t="s">
        <v>204</v>
      </c>
      <c r="B152" s="3" t="s">
        <v>53</v>
      </c>
      <c r="C152" s="2" t="str">
        <f t="shared" si="1"/>
        <v>ENDURANCE.NS</v>
      </c>
    </row>
    <row r="153" ht="14.25" customHeight="1">
      <c r="A153" s="5" t="s">
        <v>205</v>
      </c>
      <c r="B153" s="3" t="s">
        <v>53</v>
      </c>
      <c r="C153" s="2" t="str">
        <f t="shared" si="1"/>
        <v>ENGINERSIN.NS</v>
      </c>
    </row>
    <row r="154" ht="14.25" customHeight="1">
      <c r="A154" s="5" t="s">
        <v>206</v>
      </c>
      <c r="B154" s="3" t="s">
        <v>53</v>
      </c>
      <c r="C154" s="2" t="str">
        <f t="shared" si="1"/>
        <v>EQUITASBNK.NS</v>
      </c>
    </row>
    <row r="155" ht="14.25" customHeight="1">
      <c r="A155" s="5" t="s">
        <v>207</v>
      </c>
      <c r="B155" s="3" t="s">
        <v>53</v>
      </c>
      <c r="C155" s="2" t="str">
        <f t="shared" si="1"/>
        <v>ERIS.NS</v>
      </c>
    </row>
    <row r="156" ht="14.25" customHeight="1">
      <c r="A156" s="5" t="s">
        <v>208</v>
      </c>
      <c r="B156" s="3" t="s">
        <v>53</v>
      </c>
      <c r="C156" s="2" t="str">
        <f t="shared" si="1"/>
        <v>ESCORTS.NS</v>
      </c>
    </row>
    <row r="157" ht="14.25" customHeight="1">
      <c r="A157" s="5" t="s">
        <v>209</v>
      </c>
      <c r="B157" s="3" t="s">
        <v>53</v>
      </c>
      <c r="C157" s="2" t="str">
        <f t="shared" si="1"/>
        <v>EXIDEIND.NS</v>
      </c>
    </row>
    <row r="158" ht="14.25" customHeight="1">
      <c r="A158" s="5" t="s">
        <v>210</v>
      </c>
      <c r="B158" s="3" t="s">
        <v>53</v>
      </c>
      <c r="C158" s="2" t="str">
        <f t="shared" si="1"/>
        <v>FDC.NS</v>
      </c>
    </row>
    <row r="159" ht="14.25" customHeight="1">
      <c r="A159" s="5" t="s">
        <v>211</v>
      </c>
      <c r="B159" s="3" t="s">
        <v>53</v>
      </c>
      <c r="C159" s="2" t="str">
        <f t="shared" si="1"/>
        <v>NYKAA.NS</v>
      </c>
    </row>
    <row r="160" ht="14.25" customHeight="1">
      <c r="A160" s="5" t="s">
        <v>212</v>
      </c>
      <c r="B160" s="3" t="s">
        <v>53</v>
      </c>
      <c r="C160" s="2" t="str">
        <f t="shared" si="1"/>
        <v>FEDERALBNK.NS</v>
      </c>
    </row>
    <row r="161" ht="14.25" customHeight="1">
      <c r="A161" s="5" t="s">
        <v>213</v>
      </c>
      <c r="B161" s="3" t="s">
        <v>53</v>
      </c>
      <c r="C161" s="2" t="str">
        <f t="shared" si="1"/>
        <v>FACT.NS</v>
      </c>
    </row>
    <row r="162" ht="14.25" customHeight="1">
      <c r="A162" s="5" t="s">
        <v>214</v>
      </c>
      <c r="B162" s="3" t="s">
        <v>53</v>
      </c>
      <c r="C162" s="2" t="str">
        <f t="shared" si="1"/>
        <v>FINEORG.NS</v>
      </c>
    </row>
    <row r="163" ht="14.25" customHeight="1">
      <c r="A163" s="5" t="s">
        <v>215</v>
      </c>
      <c r="B163" s="3" t="s">
        <v>53</v>
      </c>
      <c r="C163" s="2" t="str">
        <f t="shared" si="1"/>
        <v>FINCABLES.NS</v>
      </c>
    </row>
    <row r="164" ht="14.25" customHeight="1">
      <c r="A164" s="5" t="s">
        <v>216</v>
      </c>
      <c r="B164" s="3" t="s">
        <v>53</v>
      </c>
      <c r="C164" s="2" t="str">
        <f t="shared" si="1"/>
        <v>FINPIPE.NS</v>
      </c>
    </row>
    <row r="165" ht="14.25" customHeight="1">
      <c r="A165" s="5" t="s">
        <v>217</v>
      </c>
      <c r="B165" s="3" t="s">
        <v>53</v>
      </c>
      <c r="C165" s="2" t="str">
        <f t="shared" si="1"/>
        <v>FSL.NS</v>
      </c>
    </row>
    <row r="166" ht="14.25" customHeight="1">
      <c r="A166" s="5" t="s">
        <v>218</v>
      </c>
      <c r="B166" s="3" t="s">
        <v>53</v>
      </c>
      <c r="C166" s="2" t="str">
        <f t="shared" si="1"/>
        <v>FIVESTAR.NS</v>
      </c>
    </row>
    <row r="167" ht="14.25" customHeight="1">
      <c r="A167" s="5" t="s">
        <v>219</v>
      </c>
      <c r="B167" s="3" t="s">
        <v>53</v>
      </c>
      <c r="C167" s="2" t="str">
        <f t="shared" si="1"/>
        <v>FORTIS.NS</v>
      </c>
    </row>
    <row r="168" ht="14.25" customHeight="1">
      <c r="A168" s="5" t="s">
        <v>220</v>
      </c>
      <c r="B168" s="3" t="s">
        <v>53</v>
      </c>
      <c r="C168" s="2" t="str">
        <f t="shared" si="1"/>
        <v>GAIL.NS</v>
      </c>
    </row>
    <row r="169" ht="14.25" customHeight="1">
      <c r="A169" s="5" t="s">
        <v>221</v>
      </c>
      <c r="B169" s="3" t="s">
        <v>53</v>
      </c>
      <c r="C169" s="2" t="str">
        <f t="shared" si="1"/>
        <v>GMMPFAUDLR.NS</v>
      </c>
    </row>
    <row r="170" ht="14.25" customHeight="1">
      <c r="A170" s="5" t="s">
        <v>222</v>
      </c>
      <c r="B170" s="3" t="s">
        <v>53</v>
      </c>
      <c r="C170" s="2" t="str">
        <f t="shared" si="1"/>
        <v>GMRINFRA.NS</v>
      </c>
    </row>
    <row r="171" ht="14.25" customHeight="1">
      <c r="A171" s="5" t="s">
        <v>223</v>
      </c>
      <c r="B171" s="3" t="s">
        <v>53</v>
      </c>
      <c r="C171" s="2" t="str">
        <f t="shared" si="1"/>
        <v>GRSE.NS</v>
      </c>
    </row>
    <row r="172" ht="14.25" customHeight="1">
      <c r="A172" s="5" t="s">
        <v>224</v>
      </c>
      <c r="B172" s="3" t="s">
        <v>53</v>
      </c>
      <c r="C172" s="2" t="str">
        <f t="shared" si="1"/>
        <v>GICRE.NS</v>
      </c>
    </row>
    <row r="173" ht="14.25" customHeight="1">
      <c r="A173" s="5" t="s">
        <v>225</v>
      </c>
      <c r="B173" s="3" t="s">
        <v>53</v>
      </c>
      <c r="C173" s="2" t="str">
        <f t="shared" si="1"/>
        <v>GILLETTE.NS</v>
      </c>
    </row>
    <row r="174" ht="14.25" customHeight="1">
      <c r="A174" s="5" t="s">
        <v>226</v>
      </c>
      <c r="B174" s="3" t="s">
        <v>53</v>
      </c>
      <c r="C174" s="2" t="str">
        <f t="shared" si="1"/>
        <v>GLAND.NS</v>
      </c>
    </row>
    <row r="175" ht="14.25" customHeight="1">
      <c r="A175" s="5" t="s">
        <v>227</v>
      </c>
      <c r="B175" s="3" t="s">
        <v>53</v>
      </c>
      <c r="C175" s="2" t="str">
        <f t="shared" si="1"/>
        <v>GLAXO.NS</v>
      </c>
    </row>
    <row r="176" ht="14.25" customHeight="1">
      <c r="A176" s="5" t="s">
        <v>228</v>
      </c>
      <c r="B176" s="3" t="s">
        <v>53</v>
      </c>
      <c r="C176" s="2" t="str">
        <f t="shared" si="1"/>
        <v>GLS.NS</v>
      </c>
    </row>
    <row r="177" ht="14.25" customHeight="1">
      <c r="A177" s="5" t="s">
        <v>229</v>
      </c>
      <c r="B177" s="3" t="s">
        <v>53</v>
      </c>
      <c r="C177" s="2" t="str">
        <f t="shared" si="1"/>
        <v>GLENMARK.NS</v>
      </c>
    </row>
    <row r="178" ht="14.25" customHeight="1">
      <c r="A178" s="5" t="s">
        <v>230</v>
      </c>
      <c r="B178" s="3" t="s">
        <v>53</v>
      </c>
      <c r="C178" s="2" t="str">
        <f t="shared" si="1"/>
        <v>MEDANTA.NS</v>
      </c>
    </row>
    <row r="179" ht="14.25" customHeight="1">
      <c r="A179" s="5" t="s">
        <v>231</v>
      </c>
      <c r="B179" s="3" t="s">
        <v>53</v>
      </c>
      <c r="C179" s="2" t="str">
        <f t="shared" si="1"/>
        <v>GPIL.NS</v>
      </c>
    </row>
    <row r="180" ht="14.25" customHeight="1">
      <c r="A180" s="5" t="s">
        <v>232</v>
      </c>
      <c r="B180" s="3" t="s">
        <v>53</v>
      </c>
      <c r="C180" s="2" t="str">
        <f t="shared" si="1"/>
        <v>GODFRYPHLP.NS</v>
      </c>
    </row>
    <row r="181" ht="14.25" customHeight="1">
      <c r="A181" s="5" t="s">
        <v>233</v>
      </c>
      <c r="B181" s="3" t="s">
        <v>53</v>
      </c>
      <c r="C181" s="2" t="str">
        <f t="shared" si="1"/>
        <v>GODREJCP.NS</v>
      </c>
    </row>
    <row r="182" ht="14.25" customHeight="1">
      <c r="A182" s="5" t="s">
        <v>234</v>
      </c>
      <c r="B182" s="3" t="s">
        <v>53</v>
      </c>
      <c r="C182" s="2" t="str">
        <f t="shared" si="1"/>
        <v>GODREJIND.NS</v>
      </c>
    </row>
    <row r="183" ht="14.25" customHeight="1">
      <c r="A183" s="5" t="s">
        <v>235</v>
      </c>
      <c r="B183" s="3" t="s">
        <v>53</v>
      </c>
      <c r="C183" s="2" t="str">
        <f t="shared" si="1"/>
        <v>GODREJPROP.NS</v>
      </c>
    </row>
    <row r="184" ht="14.25" customHeight="1">
      <c r="A184" s="5" t="s">
        <v>236</v>
      </c>
      <c r="B184" s="3" t="s">
        <v>53</v>
      </c>
      <c r="C184" s="2" t="str">
        <f t="shared" si="1"/>
        <v>GRANULES.NS</v>
      </c>
    </row>
    <row r="185" ht="14.25" customHeight="1">
      <c r="A185" s="5" t="s">
        <v>237</v>
      </c>
      <c r="B185" s="3" t="s">
        <v>53</v>
      </c>
      <c r="C185" s="2" t="str">
        <f t="shared" si="1"/>
        <v>GRAPHITE.NS</v>
      </c>
    </row>
    <row r="186" ht="14.25" customHeight="1">
      <c r="A186" s="5" t="s">
        <v>238</v>
      </c>
      <c r="B186" s="3" t="s">
        <v>53</v>
      </c>
      <c r="C186" s="2" t="str">
        <f t="shared" si="1"/>
        <v>GRASIM.NS</v>
      </c>
    </row>
    <row r="187" ht="14.25" customHeight="1">
      <c r="A187" s="5" t="s">
        <v>239</v>
      </c>
      <c r="B187" s="3" t="s">
        <v>53</v>
      </c>
      <c r="C187" s="2" t="str">
        <f t="shared" si="1"/>
        <v>GESHIP.NS</v>
      </c>
    </row>
    <row r="188" ht="14.25" customHeight="1">
      <c r="A188" s="5" t="s">
        <v>240</v>
      </c>
      <c r="B188" s="3" t="s">
        <v>53</v>
      </c>
      <c r="C188" s="2" t="str">
        <f t="shared" si="1"/>
        <v>GRINDWELL.NS</v>
      </c>
    </row>
    <row r="189" ht="14.25" customHeight="1">
      <c r="A189" s="5" t="s">
        <v>241</v>
      </c>
      <c r="B189" s="3" t="s">
        <v>53</v>
      </c>
      <c r="C189" s="2" t="str">
        <f t="shared" si="1"/>
        <v>GAEL.NS</v>
      </c>
    </row>
    <row r="190" ht="14.25" customHeight="1">
      <c r="A190" s="5" t="s">
        <v>242</v>
      </c>
      <c r="B190" s="3" t="s">
        <v>53</v>
      </c>
      <c r="C190" s="2" t="str">
        <f t="shared" si="1"/>
        <v>FLUOROCHEM.NS</v>
      </c>
    </row>
    <row r="191" ht="14.25" customHeight="1">
      <c r="A191" s="5" t="s">
        <v>243</v>
      </c>
      <c r="B191" s="3" t="s">
        <v>53</v>
      </c>
      <c r="C191" s="2" t="str">
        <f t="shared" si="1"/>
        <v>GUJGASLTD.NS</v>
      </c>
    </row>
    <row r="192" ht="14.25" customHeight="1">
      <c r="A192" s="5" t="s">
        <v>244</v>
      </c>
      <c r="B192" s="3" t="s">
        <v>53</v>
      </c>
      <c r="C192" s="2" t="str">
        <f t="shared" si="1"/>
        <v>GMDCLTD.NS</v>
      </c>
    </row>
    <row r="193" ht="14.25" customHeight="1">
      <c r="A193" s="5" t="s">
        <v>245</v>
      </c>
      <c r="B193" s="3" t="s">
        <v>53</v>
      </c>
      <c r="C193" s="2" t="str">
        <f t="shared" si="1"/>
        <v>GNFC.NS</v>
      </c>
    </row>
    <row r="194" ht="14.25" customHeight="1">
      <c r="A194" s="5" t="s">
        <v>246</v>
      </c>
      <c r="B194" s="3" t="s">
        <v>53</v>
      </c>
      <c r="C194" s="2" t="str">
        <f t="shared" si="1"/>
        <v>GPPL.NS</v>
      </c>
    </row>
    <row r="195" ht="14.25" customHeight="1">
      <c r="A195" s="5" t="s">
        <v>247</v>
      </c>
      <c r="B195" s="3" t="s">
        <v>53</v>
      </c>
      <c r="C195" s="2" t="str">
        <f t="shared" si="1"/>
        <v>GSFC.NS</v>
      </c>
    </row>
    <row r="196" ht="14.25" customHeight="1">
      <c r="A196" s="5" t="s">
        <v>248</v>
      </c>
      <c r="B196" s="3" t="s">
        <v>53</v>
      </c>
      <c r="C196" s="2" t="str">
        <f t="shared" si="1"/>
        <v>GSPL.NS</v>
      </c>
    </row>
    <row r="197" ht="14.25" customHeight="1">
      <c r="A197" s="5" t="s">
        <v>249</v>
      </c>
      <c r="B197" s="3" t="s">
        <v>53</v>
      </c>
      <c r="C197" s="2" t="str">
        <f t="shared" si="1"/>
        <v>HEG.NS</v>
      </c>
    </row>
    <row r="198" ht="14.25" customHeight="1">
      <c r="A198" s="5" t="s">
        <v>250</v>
      </c>
      <c r="B198" s="3" t="s">
        <v>53</v>
      </c>
      <c r="C198" s="2" t="str">
        <f t="shared" si="1"/>
        <v>HBLPOWER.NS</v>
      </c>
    </row>
    <row r="199" ht="14.25" customHeight="1">
      <c r="A199" s="5" t="s">
        <v>251</v>
      </c>
      <c r="B199" s="3" t="s">
        <v>53</v>
      </c>
      <c r="C199" s="2" t="str">
        <f t="shared" si="1"/>
        <v>HCLTECH.NS</v>
      </c>
    </row>
    <row r="200" ht="14.25" customHeight="1">
      <c r="A200" s="5" t="s">
        <v>252</v>
      </c>
      <c r="B200" s="3" t="s">
        <v>53</v>
      </c>
      <c r="C200" s="2" t="str">
        <f t="shared" si="1"/>
        <v>HDFCAMC.NS</v>
      </c>
    </row>
    <row r="201" ht="14.25" customHeight="1">
      <c r="A201" s="5" t="s">
        <v>253</v>
      </c>
      <c r="B201" s="3" t="s">
        <v>53</v>
      </c>
      <c r="C201" s="2" t="str">
        <f t="shared" si="1"/>
        <v>HDFCBANK.NS</v>
      </c>
    </row>
    <row r="202" ht="14.25" customHeight="1">
      <c r="A202" s="5" t="s">
        <v>254</v>
      </c>
      <c r="B202" s="3" t="s">
        <v>53</v>
      </c>
      <c r="C202" s="2" t="str">
        <f t="shared" si="1"/>
        <v>HDFCLIFE.NS</v>
      </c>
    </row>
    <row r="203" ht="14.25" customHeight="1">
      <c r="A203" s="5" t="s">
        <v>255</v>
      </c>
      <c r="B203" s="3" t="s">
        <v>53</v>
      </c>
      <c r="C203" s="2" t="str">
        <f t="shared" si="1"/>
        <v>HFCL.NS</v>
      </c>
    </row>
    <row r="204" ht="14.25" customHeight="1">
      <c r="A204" s="5" t="s">
        <v>256</v>
      </c>
      <c r="B204" s="3" t="s">
        <v>53</v>
      </c>
      <c r="C204" s="2" t="str">
        <f t="shared" si="1"/>
        <v>HAPPSTMNDS.NS</v>
      </c>
    </row>
    <row r="205" ht="14.25" customHeight="1">
      <c r="A205" s="5" t="s">
        <v>257</v>
      </c>
      <c r="B205" s="3" t="s">
        <v>53</v>
      </c>
      <c r="C205" s="2" t="str">
        <f t="shared" si="1"/>
        <v>HAPPYFORGE.NS</v>
      </c>
    </row>
    <row r="206" ht="14.25" customHeight="1">
      <c r="A206" s="5" t="s">
        <v>258</v>
      </c>
      <c r="B206" s="3" t="s">
        <v>53</v>
      </c>
      <c r="C206" s="2" t="str">
        <f t="shared" si="1"/>
        <v>HAVELLS.NS</v>
      </c>
    </row>
    <row r="207" ht="14.25" customHeight="1">
      <c r="A207" s="5" t="s">
        <v>259</v>
      </c>
      <c r="B207" s="3" t="s">
        <v>53</v>
      </c>
      <c r="C207" s="2" t="str">
        <f t="shared" si="1"/>
        <v>HEROMOTOCO.NS</v>
      </c>
    </row>
    <row r="208" ht="14.25" customHeight="1">
      <c r="A208" s="5" t="s">
        <v>260</v>
      </c>
      <c r="B208" s="3" t="s">
        <v>53</v>
      </c>
      <c r="C208" s="2" t="str">
        <f t="shared" si="1"/>
        <v>HSCL.NS</v>
      </c>
    </row>
    <row r="209" ht="14.25" customHeight="1">
      <c r="A209" s="5" t="s">
        <v>261</v>
      </c>
      <c r="B209" s="3" t="s">
        <v>53</v>
      </c>
      <c r="C209" s="2" t="str">
        <f t="shared" si="1"/>
        <v>HINDALCO.NS</v>
      </c>
    </row>
    <row r="210" ht="14.25" customHeight="1">
      <c r="A210" s="5" t="s">
        <v>262</v>
      </c>
      <c r="B210" s="3" t="s">
        <v>53</v>
      </c>
      <c r="C210" s="2" t="str">
        <f t="shared" si="1"/>
        <v>HAL.NS</v>
      </c>
    </row>
    <row r="211" ht="14.25" customHeight="1">
      <c r="A211" s="5" t="s">
        <v>263</v>
      </c>
      <c r="B211" s="3" t="s">
        <v>53</v>
      </c>
      <c r="C211" s="2" t="str">
        <f t="shared" si="1"/>
        <v>HINDCOPPER.NS</v>
      </c>
    </row>
    <row r="212" ht="14.25" customHeight="1">
      <c r="A212" s="5" t="s">
        <v>264</v>
      </c>
      <c r="B212" s="3" t="s">
        <v>53</v>
      </c>
      <c r="C212" s="2" t="str">
        <f t="shared" si="1"/>
        <v>HINDPETRO.NS</v>
      </c>
    </row>
    <row r="213" ht="14.25" customHeight="1">
      <c r="A213" s="5" t="s">
        <v>265</v>
      </c>
      <c r="B213" s="3" t="s">
        <v>53</v>
      </c>
      <c r="C213" s="2" t="str">
        <f t="shared" si="1"/>
        <v>HINDUNILVR.NS</v>
      </c>
    </row>
    <row r="214" ht="14.25" customHeight="1">
      <c r="A214" s="5" t="s">
        <v>266</v>
      </c>
      <c r="B214" s="3" t="s">
        <v>53</v>
      </c>
      <c r="C214" s="2" t="str">
        <f t="shared" si="1"/>
        <v>HINDZINC.NS</v>
      </c>
    </row>
    <row r="215" ht="14.25" customHeight="1">
      <c r="A215" s="5" t="s">
        <v>267</v>
      </c>
      <c r="B215" s="3" t="s">
        <v>53</v>
      </c>
      <c r="C215" s="2" t="str">
        <f t="shared" si="1"/>
        <v>POWERINDIA.NS</v>
      </c>
    </row>
    <row r="216" ht="14.25" customHeight="1">
      <c r="A216" s="5" t="s">
        <v>268</v>
      </c>
      <c r="B216" s="3" t="s">
        <v>53</v>
      </c>
      <c r="C216" s="2" t="str">
        <f t="shared" si="1"/>
        <v>HOMEFIRST.NS</v>
      </c>
    </row>
    <row r="217" ht="14.25" customHeight="1">
      <c r="A217" s="5" t="s">
        <v>269</v>
      </c>
      <c r="B217" s="3" t="s">
        <v>53</v>
      </c>
      <c r="C217" s="2" t="str">
        <f t="shared" si="1"/>
        <v>HONASA.NS</v>
      </c>
    </row>
    <row r="218" ht="14.25" customHeight="1">
      <c r="A218" s="5" t="s">
        <v>270</v>
      </c>
      <c r="B218" s="3" t="s">
        <v>53</v>
      </c>
      <c r="C218" s="2" t="str">
        <f t="shared" si="1"/>
        <v>HONAUT.NS</v>
      </c>
    </row>
    <row r="219" ht="14.25" customHeight="1">
      <c r="A219" s="5" t="s">
        <v>271</v>
      </c>
      <c r="B219" s="3" t="s">
        <v>53</v>
      </c>
      <c r="C219" s="2" t="str">
        <f t="shared" si="1"/>
        <v>HUDCO.NS</v>
      </c>
    </row>
    <row r="220" ht="14.25" customHeight="1">
      <c r="A220" s="5" t="s">
        <v>272</v>
      </c>
      <c r="B220" s="3" t="s">
        <v>53</v>
      </c>
      <c r="C220" s="2" t="str">
        <f t="shared" si="1"/>
        <v>ICICIBANK.NS</v>
      </c>
    </row>
    <row r="221" ht="14.25" customHeight="1">
      <c r="A221" s="5" t="s">
        <v>273</v>
      </c>
      <c r="B221" s="3" t="s">
        <v>53</v>
      </c>
      <c r="C221" s="2" t="str">
        <f t="shared" si="1"/>
        <v>ICICIGI.NS</v>
      </c>
    </row>
    <row r="222" ht="14.25" customHeight="1">
      <c r="A222" s="5" t="s">
        <v>274</v>
      </c>
      <c r="B222" s="3" t="s">
        <v>53</v>
      </c>
      <c r="C222" s="2" t="str">
        <f t="shared" si="1"/>
        <v>ICICIPRULI.NS</v>
      </c>
    </row>
    <row r="223" ht="14.25" customHeight="1">
      <c r="A223" s="5" t="s">
        <v>275</v>
      </c>
      <c r="B223" s="3" t="s">
        <v>53</v>
      </c>
      <c r="C223" s="2" t="str">
        <f t="shared" si="1"/>
        <v>ISEC.NS</v>
      </c>
    </row>
    <row r="224" ht="14.25" customHeight="1">
      <c r="A224" s="5" t="s">
        <v>276</v>
      </c>
      <c r="B224" s="3" t="s">
        <v>53</v>
      </c>
      <c r="C224" s="2" t="str">
        <f t="shared" si="1"/>
        <v>IDBI.NS</v>
      </c>
    </row>
    <row r="225" ht="14.25" customHeight="1">
      <c r="A225" s="5" t="s">
        <v>277</v>
      </c>
      <c r="B225" s="3" t="s">
        <v>53</v>
      </c>
      <c r="C225" s="2" t="str">
        <f t="shared" si="1"/>
        <v>IDFCFIRSTB.NS</v>
      </c>
    </row>
    <row r="226" ht="14.25" customHeight="1">
      <c r="A226" s="5" t="s">
        <v>278</v>
      </c>
      <c r="B226" s="3" t="s">
        <v>53</v>
      </c>
      <c r="C226" s="2" t="str">
        <f t="shared" si="1"/>
        <v>IDFC.NS</v>
      </c>
    </row>
    <row r="227" ht="14.25" customHeight="1">
      <c r="A227" s="5" t="s">
        <v>279</v>
      </c>
      <c r="B227" s="3" t="s">
        <v>53</v>
      </c>
      <c r="C227" s="2" t="str">
        <f t="shared" si="1"/>
        <v>IIFL.NS</v>
      </c>
    </row>
    <row r="228" ht="14.25" customHeight="1">
      <c r="A228" s="5" t="s">
        <v>280</v>
      </c>
      <c r="B228" s="3" t="s">
        <v>53</v>
      </c>
      <c r="C228" s="2" t="str">
        <f t="shared" si="1"/>
        <v>IRB.NS</v>
      </c>
    </row>
    <row r="229" ht="14.25" customHeight="1">
      <c r="A229" s="5" t="s">
        <v>281</v>
      </c>
      <c r="B229" s="3" t="s">
        <v>53</v>
      </c>
      <c r="C229" s="2" t="str">
        <f t="shared" si="1"/>
        <v>IRCON.NS</v>
      </c>
    </row>
    <row r="230" ht="14.25" customHeight="1">
      <c r="A230" s="5" t="s">
        <v>282</v>
      </c>
      <c r="B230" s="3" t="s">
        <v>53</v>
      </c>
      <c r="C230" s="2" t="str">
        <f t="shared" si="1"/>
        <v>ITC.NS</v>
      </c>
    </row>
    <row r="231" ht="14.25" customHeight="1">
      <c r="A231" s="5" t="s">
        <v>283</v>
      </c>
      <c r="B231" s="3" t="s">
        <v>53</v>
      </c>
      <c r="C231" s="2" t="str">
        <f t="shared" si="1"/>
        <v>ITI.NS</v>
      </c>
    </row>
    <row r="232" ht="14.25" customHeight="1">
      <c r="A232" s="5" t="s">
        <v>284</v>
      </c>
      <c r="B232" s="3" t="s">
        <v>53</v>
      </c>
      <c r="C232" s="2" t="str">
        <f t="shared" si="1"/>
        <v>INDIACEM.NS</v>
      </c>
    </row>
    <row r="233" ht="14.25" customHeight="1">
      <c r="A233" s="5" t="s">
        <v>285</v>
      </c>
      <c r="B233" s="3" t="s">
        <v>53</v>
      </c>
      <c r="C233" s="2" t="str">
        <f t="shared" si="1"/>
        <v>IBULHSGFIN.NS</v>
      </c>
    </row>
    <row r="234" ht="14.25" customHeight="1">
      <c r="A234" s="5" t="s">
        <v>286</v>
      </c>
      <c r="B234" s="3" t="s">
        <v>53</v>
      </c>
      <c r="C234" s="2" t="str">
        <f t="shared" si="1"/>
        <v>INDIAMART.NS</v>
      </c>
    </row>
    <row r="235" ht="14.25" customHeight="1">
      <c r="A235" s="5" t="s">
        <v>287</v>
      </c>
      <c r="B235" s="3" t="s">
        <v>53</v>
      </c>
      <c r="C235" s="2" t="str">
        <f t="shared" si="1"/>
        <v>INDIANB.NS</v>
      </c>
    </row>
    <row r="236" ht="14.25" customHeight="1">
      <c r="A236" s="5" t="s">
        <v>288</v>
      </c>
      <c r="B236" s="3" t="s">
        <v>53</v>
      </c>
      <c r="C236" s="2" t="str">
        <f t="shared" si="1"/>
        <v>IEX.NS</v>
      </c>
    </row>
    <row r="237" ht="14.25" customHeight="1">
      <c r="A237" s="5" t="s">
        <v>289</v>
      </c>
      <c r="B237" s="3" t="s">
        <v>53</v>
      </c>
      <c r="C237" s="2" t="str">
        <f t="shared" si="1"/>
        <v>INDHOTEL.NS</v>
      </c>
    </row>
    <row r="238" ht="14.25" customHeight="1">
      <c r="A238" s="5" t="s">
        <v>290</v>
      </c>
      <c r="B238" s="3" t="s">
        <v>53</v>
      </c>
      <c r="C238" s="2" t="str">
        <f t="shared" si="1"/>
        <v>IOC.NS</v>
      </c>
    </row>
    <row r="239" ht="14.25" customHeight="1">
      <c r="A239" s="5" t="s">
        <v>291</v>
      </c>
      <c r="B239" s="3" t="s">
        <v>53</v>
      </c>
      <c r="C239" s="2" t="str">
        <f t="shared" si="1"/>
        <v>IOB.NS</v>
      </c>
    </row>
    <row r="240" ht="14.25" customHeight="1">
      <c r="A240" s="5" t="s">
        <v>292</v>
      </c>
      <c r="B240" s="3" t="s">
        <v>53</v>
      </c>
      <c r="C240" s="2" t="str">
        <f t="shared" si="1"/>
        <v>IRCTC.NS</v>
      </c>
    </row>
    <row r="241" ht="14.25" customHeight="1">
      <c r="A241" s="5" t="s">
        <v>293</v>
      </c>
      <c r="B241" s="3" t="s">
        <v>53</v>
      </c>
      <c r="C241" s="2" t="str">
        <f t="shared" si="1"/>
        <v>IRFC.NS</v>
      </c>
    </row>
    <row r="242" ht="14.25" customHeight="1">
      <c r="A242" s="5" t="s">
        <v>294</v>
      </c>
      <c r="B242" s="3" t="s">
        <v>53</v>
      </c>
      <c r="C242" s="2" t="str">
        <f t="shared" si="1"/>
        <v>INDIGOPNTS.NS</v>
      </c>
    </row>
    <row r="243" ht="14.25" customHeight="1">
      <c r="A243" s="5" t="s">
        <v>295</v>
      </c>
      <c r="B243" s="3" t="s">
        <v>53</v>
      </c>
      <c r="C243" s="2" t="str">
        <f t="shared" si="1"/>
        <v>IGL.NS</v>
      </c>
    </row>
    <row r="244" ht="14.25" customHeight="1">
      <c r="A244" s="5" t="s">
        <v>296</v>
      </c>
      <c r="B244" s="3" t="s">
        <v>53</v>
      </c>
      <c r="C244" s="2" t="str">
        <f t="shared" si="1"/>
        <v>INDUSTOWER.NS</v>
      </c>
    </row>
    <row r="245" ht="14.25" customHeight="1">
      <c r="A245" s="5" t="s">
        <v>297</v>
      </c>
      <c r="B245" s="3" t="s">
        <v>53</v>
      </c>
      <c r="C245" s="2" t="str">
        <f t="shared" si="1"/>
        <v>INDUSINDBK.NS</v>
      </c>
    </row>
    <row r="246" ht="14.25" customHeight="1">
      <c r="A246" s="5" t="s">
        <v>298</v>
      </c>
      <c r="B246" s="3" t="s">
        <v>53</v>
      </c>
      <c r="C246" s="2" t="str">
        <f t="shared" si="1"/>
        <v>NAUKRI.NS</v>
      </c>
    </row>
    <row r="247" ht="14.25" customHeight="1">
      <c r="A247" s="5" t="s">
        <v>299</v>
      </c>
      <c r="B247" s="3" t="s">
        <v>53</v>
      </c>
      <c r="C247" s="2" t="str">
        <f t="shared" si="1"/>
        <v>INFY.NS</v>
      </c>
    </row>
    <row r="248" ht="14.25" customHeight="1">
      <c r="A248" s="5" t="s">
        <v>300</v>
      </c>
      <c r="B248" s="3" t="s">
        <v>53</v>
      </c>
      <c r="C248" s="2" t="str">
        <f t="shared" si="1"/>
        <v>INOXWIND.NS</v>
      </c>
    </row>
    <row r="249" ht="14.25" customHeight="1">
      <c r="A249" s="5" t="s">
        <v>301</v>
      </c>
      <c r="B249" s="3" t="s">
        <v>53</v>
      </c>
      <c r="C249" s="2" t="str">
        <f t="shared" si="1"/>
        <v>INTELLECT.NS</v>
      </c>
    </row>
    <row r="250" ht="14.25" customHeight="1">
      <c r="A250" s="5" t="s">
        <v>302</v>
      </c>
      <c r="B250" s="3" t="s">
        <v>53</v>
      </c>
      <c r="C250" s="2" t="str">
        <f t="shared" si="1"/>
        <v>INDIGO.NS</v>
      </c>
    </row>
    <row r="251" ht="14.25" customHeight="1">
      <c r="A251" s="5" t="s">
        <v>303</v>
      </c>
      <c r="B251" s="3" t="s">
        <v>53</v>
      </c>
      <c r="C251" s="2" t="str">
        <f t="shared" si="1"/>
        <v>IPCALAB.NS</v>
      </c>
    </row>
    <row r="252" ht="14.25" customHeight="1">
      <c r="A252" s="5" t="s">
        <v>304</v>
      </c>
      <c r="B252" s="3" t="s">
        <v>53</v>
      </c>
      <c r="C252" s="2" t="str">
        <f t="shared" si="1"/>
        <v>JBCHEPHARM.NS</v>
      </c>
    </row>
    <row r="253" ht="14.25" customHeight="1">
      <c r="A253" s="5" t="s">
        <v>305</v>
      </c>
      <c r="B253" s="3" t="s">
        <v>53</v>
      </c>
      <c r="C253" s="2" t="str">
        <f t="shared" si="1"/>
        <v>JKCEMENT.NS</v>
      </c>
    </row>
    <row r="254" ht="14.25" customHeight="1">
      <c r="A254" s="5" t="s">
        <v>306</v>
      </c>
      <c r="B254" s="3" t="s">
        <v>53</v>
      </c>
      <c r="C254" s="2" t="str">
        <f t="shared" si="1"/>
        <v>JBMA.NS</v>
      </c>
    </row>
    <row r="255" ht="14.25" customHeight="1">
      <c r="A255" s="5" t="s">
        <v>307</v>
      </c>
      <c r="B255" s="3" t="s">
        <v>53</v>
      </c>
      <c r="C255" s="2" t="str">
        <f t="shared" si="1"/>
        <v>JKLAKSHMI.NS</v>
      </c>
    </row>
    <row r="256" ht="14.25" customHeight="1">
      <c r="A256" s="5" t="s">
        <v>308</v>
      </c>
      <c r="B256" s="3" t="s">
        <v>53</v>
      </c>
      <c r="C256" s="2" t="str">
        <f t="shared" si="1"/>
        <v>JKPAPER.NS</v>
      </c>
    </row>
    <row r="257" ht="14.25" customHeight="1">
      <c r="A257" s="5" t="s">
        <v>309</v>
      </c>
      <c r="B257" s="3" t="s">
        <v>53</v>
      </c>
      <c r="C257" s="2" t="str">
        <f t="shared" si="1"/>
        <v>JMFINANCIL.NS</v>
      </c>
    </row>
    <row r="258" ht="14.25" customHeight="1">
      <c r="A258" s="5" t="s">
        <v>310</v>
      </c>
      <c r="B258" s="3" t="s">
        <v>53</v>
      </c>
      <c r="C258" s="2" t="str">
        <f t="shared" si="1"/>
        <v>JSWENERGY.NS</v>
      </c>
    </row>
    <row r="259" ht="14.25" customHeight="1">
      <c r="A259" s="5" t="s">
        <v>311</v>
      </c>
      <c r="B259" s="3" t="s">
        <v>53</v>
      </c>
      <c r="C259" s="2" t="str">
        <f t="shared" si="1"/>
        <v>JSWINFRA.NS</v>
      </c>
    </row>
    <row r="260" ht="14.25" customHeight="1">
      <c r="A260" s="5" t="s">
        <v>312</v>
      </c>
      <c r="B260" s="3" t="s">
        <v>53</v>
      </c>
      <c r="C260" s="2" t="str">
        <f t="shared" si="1"/>
        <v>JSWSTEEL.NS</v>
      </c>
    </row>
    <row r="261" ht="14.25" customHeight="1">
      <c r="A261" s="5" t="s">
        <v>313</v>
      </c>
      <c r="B261" s="3" t="s">
        <v>53</v>
      </c>
      <c r="C261" s="2" t="str">
        <f t="shared" si="1"/>
        <v>JAIBALAJI.NS</v>
      </c>
    </row>
    <row r="262" ht="14.25" customHeight="1">
      <c r="A262" s="5" t="s">
        <v>314</v>
      </c>
      <c r="B262" s="3" t="s">
        <v>53</v>
      </c>
      <c r="C262" s="2" t="str">
        <f t="shared" si="1"/>
        <v>J&amp;KBANK.NS</v>
      </c>
    </row>
    <row r="263" ht="14.25" customHeight="1">
      <c r="A263" s="5" t="s">
        <v>315</v>
      </c>
      <c r="B263" s="3" t="s">
        <v>53</v>
      </c>
      <c r="C263" s="2" t="str">
        <f t="shared" si="1"/>
        <v>JINDALSAW.NS</v>
      </c>
    </row>
    <row r="264" ht="14.25" customHeight="1">
      <c r="A264" s="5" t="s">
        <v>316</v>
      </c>
      <c r="B264" s="3" t="s">
        <v>53</v>
      </c>
      <c r="C264" s="2" t="str">
        <f t="shared" si="1"/>
        <v>JSL.NS</v>
      </c>
    </row>
    <row r="265" ht="14.25" customHeight="1">
      <c r="A265" s="5" t="s">
        <v>317</v>
      </c>
      <c r="B265" s="3" t="s">
        <v>53</v>
      </c>
      <c r="C265" s="2" t="str">
        <f t="shared" si="1"/>
        <v>JINDALSTEL.NS</v>
      </c>
    </row>
    <row r="266" ht="14.25" customHeight="1">
      <c r="A266" s="5" t="s">
        <v>318</v>
      </c>
      <c r="B266" s="3" t="s">
        <v>53</v>
      </c>
      <c r="C266" s="2" t="str">
        <f t="shared" si="1"/>
        <v>JIOFIN.NS</v>
      </c>
    </row>
    <row r="267" ht="14.25" customHeight="1">
      <c r="A267" s="5" t="s">
        <v>319</v>
      </c>
      <c r="B267" s="3" t="s">
        <v>53</v>
      </c>
      <c r="C267" s="2" t="str">
        <f t="shared" si="1"/>
        <v>JUBLFOOD.NS</v>
      </c>
    </row>
    <row r="268" ht="14.25" customHeight="1">
      <c r="A268" s="5" t="s">
        <v>320</v>
      </c>
      <c r="B268" s="3" t="s">
        <v>53</v>
      </c>
      <c r="C268" s="2" t="str">
        <f t="shared" si="1"/>
        <v>JUBLINGREA.NS</v>
      </c>
    </row>
    <row r="269" ht="14.25" customHeight="1">
      <c r="A269" s="5" t="s">
        <v>321</v>
      </c>
      <c r="B269" s="3" t="s">
        <v>53</v>
      </c>
      <c r="C269" s="2" t="str">
        <f t="shared" si="1"/>
        <v>JUBLPHARMA.NS</v>
      </c>
    </row>
    <row r="270" ht="14.25" customHeight="1">
      <c r="A270" s="5" t="s">
        <v>322</v>
      </c>
      <c r="B270" s="3" t="s">
        <v>53</v>
      </c>
      <c r="C270" s="2" t="str">
        <f t="shared" si="1"/>
        <v>JWL.NS</v>
      </c>
    </row>
    <row r="271" ht="14.25" customHeight="1">
      <c r="A271" s="5" t="s">
        <v>323</v>
      </c>
      <c r="B271" s="3" t="s">
        <v>53</v>
      </c>
      <c r="C271" s="2" t="str">
        <f t="shared" si="1"/>
        <v>JUSTDIAL.NS</v>
      </c>
    </row>
    <row r="272" ht="14.25" customHeight="1">
      <c r="A272" s="5" t="s">
        <v>324</v>
      </c>
      <c r="B272" s="3" t="s">
        <v>53</v>
      </c>
      <c r="C272" s="2" t="str">
        <f t="shared" si="1"/>
        <v>JYOTHYLAB.NS</v>
      </c>
    </row>
    <row r="273" ht="14.25" customHeight="1">
      <c r="A273" s="5" t="s">
        <v>325</v>
      </c>
      <c r="B273" s="3" t="s">
        <v>53</v>
      </c>
      <c r="C273" s="2" t="str">
        <f t="shared" si="1"/>
        <v>KPRMILL.NS</v>
      </c>
    </row>
    <row r="274" ht="14.25" customHeight="1">
      <c r="A274" s="5" t="s">
        <v>326</v>
      </c>
      <c r="B274" s="3" t="s">
        <v>53</v>
      </c>
      <c r="C274" s="2" t="str">
        <f t="shared" si="1"/>
        <v>KEI.NS</v>
      </c>
    </row>
    <row r="275" ht="14.25" customHeight="1">
      <c r="A275" s="5" t="s">
        <v>327</v>
      </c>
      <c r="B275" s="3" t="s">
        <v>53</v>
      </c>
      <c r="C275" s="2" t="str">
        <f t="shared" si="1"/>
        <v>KNRCON.NS</v>
      </c>
    </row>
    <row r="276" ht="14.25" customHeight="1">
      <c r="A276" s="5" t="s">
        <v>328</v>
      </c>
      <c r="B276" s="3" t="s">
        <v>53</v>
      </c>
      <c r="C276" s="2" t="str">
        <f t="shared" si="1"/>
        <v>KPITTECH.NS</v>
      </c>
    </row>
    <row r="277" ht="14.25" customHeight="1">
      <c r="A277" s="5" t="s">
        <v>329</v>
      </c>
      <c r="B277" s="3" t="s">
        <v>53</v>
      </c>
      <c r="C277" s="2" t="str">
        <f t="shared" si="1"/>
        <v>KRBL.NS</v>
      </c>
    </row>
    <row r="278" ht="14.25" customHeight="1">
      <c r="A278" s="5" t="s">
        <v>330</v>
      </c>
      <c r="B278" s="3" t="s">
        <v>53</v>
      </c>
      <c r="C278" s="2" t="str">
        <f t="shared" si="1"/>
        <v>KSB.NS</v>
      </c>
    </row>
    <row r="279" ht="14.25" customHeight="1">
      <c r="A279" s="5" t="s">
        <v>331</v>
      </c>
      <c r="B279" s="3" t="s">
        <v>53</v>
      </c>
      <c r="C279" s="2" t="str">
        <f t="shared" si="1"/>
        <v>KAJARIACER.NS</v>
      </c>
    </row>
    <row r="280" ht="14.25" customHeight="1">
      <c r="A280" s="5" t="s">
        <v>332</v>
      </c>
      <c r="B280" s="3" t="s">
        <v>53</v>
      </c>
      <c r="C280" s="2" t="str">
        <f t="shared" si="1"/>
        <v>KPIL.NS</v>
      </c>
    </row>
    <row r="281" ht="14.25" customHeight="1">
      <c r="A281" s="5" t="s">
        <v>333</v>
      </c>
      <c r="B281" s="3" t="s">
        <v>53</v>
      </c>
      <c r="C281" s="2" t="str">
        <f t="shared" si="1"/>
        <v>KALYANKJIL.NS</v>
      </c>
    </row>
    <row r="282" ht="14.25" customHeight="1">
      <c r="A282" s="5" t="s">
        <v>334</v>
      </c>
      <c r="B282" s="3" t="s">
        <v>53</v>
      </c>
      <c r="C282" s="2" t="str">
        <f t="shared" si="1"/>
        <v>KANSAINER.NS</v>
      </c>
    </row>
    <row r="283" ht="14.25" customHeight="1">
      <c r="A283" s="5" t="s">
        <v>335</v>
      </c>
      <c r="B283" s="3" t="s">
        <v>53</v>
      </c>
      <c r="C283" s="2" t="str">
        <f t="shared" si="1"/>
        <v>KARURVYSYA.NS</v>
      </c>
    </row>
    <row r="284" ht="14.25" customHeight="1">
      <c r="A284" s="5" t="s">
        <v>336</v>
      </c>
      <c r="B284" s="3" t="s">
        <v>53</v>
      </c>
      <c r="C284" s="2" t="str">
        <f t="shared" si="1"/>
        <v>KAYNES.NS</v>
      </c>
    </row>
    <row r="285" ht="14.25" customHeight="1">
      <c r="A285" s="5" t="s">
        <v>337</v>
      </c>
      <c r="B285" s="3" t="s">
        <v>53</v>
      </c>
      <c r="C285" s="2" t="str">
        <f t="shared" si="1"/>
        <v>KEC.NS</v>
      </c>
    </row>
    <row r="286" ht="14.25" customHeight="1">
      <c r="A286" s="5" t="s">
        <v>338</v>
      </c>
      <c r="B286" s="3" t="s">
        <v>53</v>
      </c>
      <c r="C286" s="2" t="str">
        <f t="shared" si="1"/>
        <v>KFINTECH.NS</v>
      </c>
    </row>
    <row r="287" ht="14.25" customHeight="1">
      <c r="A287" s="5" t="s">
        <v>339</v>
      </c>
      <c r="B287" s="3" t="s">
        <v>53</v>
      </c>
      <c r="C287" s="2" t="str">
        <f t="shared" si="1"/>
        <v>KOTAKBANK.NS</v>
      </c>
    </row>
    <row r="288" ht="14.25" customHeight="1">
      <c r="A288" s="5" t="s">
        <v>340</v>
      </c>
      <c r="B288" s="3" t="s">
        <v>53</v>
      </c>
      <c r="C288" s="2" t="str">
        <f t="shared" si="1"/>
        <v>KIMS.NS</v>
      </c>
    </row>
    <row r="289" ht="14.25" customHeight="1">
      <c r="A289" s="5" t="s">
        <v>341</v>
      </c>
      <c r="B289" s="3" t="s">
        <v>53</v>
      </c>
      <c r="C289" s="2" t="str">
        <f t="shared" si="1"/>
        <v>LTF.NS</v>
      </c>
    </row>
    <row r="290" ht="14.25" customHeight="1">
      <c r="A290" s="5" t="s">
        <v>342</v>
      </c>
      <c r="B290" s="3" t="s">
        <v>53</v>
      </c>
      <c r="C290" s="2" t="str">
        <f t="shared" si="1"/>
        <v>LTTS.NS</v>
      </c>
    </row>
    <row r="291" ht="14.25" customHeight="1">
      <c r="A291" s="5" t="s">
        <v>343</v>
      </c>
      <c r="B291" s="3" t="s">
        <v>53</v>
      </c>
      <c r="C291" s="2" t="str">
        <f t="shared" si="1"/>
        <v>LICHSGFIN.NS</v>
      </c>
    </row>
    <row r="292" ht="14.25" customHeight="1">
      <c r="A292" s="5" t="s">
        <v>344</v>
      </c>
      <c r="B292" s="3" t="s">
        <v>53</v>
      </c>
      <c r="C292" s="2" t="str">
        <f t="shared" si="1"/>
        <v>LTIM.NS</v>
      </c>
    </row>
    <row r="293" ht="14.25" customHeight="1">
      <c r="A293" s="5" t="s">
        <v>345</v>
      </c>
      <c r="B293" s="3" t="s">
        <v>53</v>
      </c>
      <c r="C293" s="2" t="str">
        <f t="shared" si="1"/>
        <v>LT.NS</v>
      </c>
    </row>
    <row r="294" ht="14.25" customHeight="1">
      <c r="A294" s="5" t="s">
        <v>346</v>
      </c>
      <c r="B294" s="3" t="s">
        <v>53</v>
      </c>
      <c r="C294" s="2" t="str">
        <f t="shared" si="1"/>
        <v>LATENTVIEW.NS</v>
      </c>
    </row>
    <row r="295" ht="14.25" customHeight="1">
      <c r="A295" s="5" t="s">
        <v>347</v>
      </c>
      <c r="B295" s="3" t="s">
        <v>53</v>
      </c>
      <c r="C295" s="2" t="str">
        <f t="shared" si="1"/>
        <v>LAURUSLABS.NS</v>
      </c>
    </row>
    <row r="296" ht="14.25" customHeight="1">
      <c r="A296" s="5" t="s">
        <v>348</v>
      </c>
      <c r="B296" s="3" t="s">
        <v>53</v>
      </c>
      <c r="C296" s="2" t="str">
        <f t="shared" si="1"/>
        <v>LXCHEM.NS</v>
      </c>
    </row>
    <row r="297" ht="14.25" customHeight="1">
      <c r="A297" s="5" t="s">
        <v>349</v>
      </c>
      <c r="B297" s="3" t="s">
        <v>53</v>
      </c>
      <c r="C297" s="2" t="str">
        <f t="shared" si="1"/>
        <v>LEMONTREE.NS</v>
      </c>
    </row>
    <row r="298" ht="14.25" customHeight="1">
      <c r="A298" s="5" t="s">
        <v>350</v>
      </c>
      <c r="B298" s="3" t="s">
        <v>53</v>
      </c>
      <c r="C298" s="2" t="str">
        <f t="shared" si="1"/>
        <v>LICI.NS</v>
      </c>
    </row>
    <row r="299" ht="14.25" customHeight="1">
      <c r="A299" s="5" t="s">
        <v>351</v>
      </c>
      <c r="B299" s="3" t="s">
        <v>53</v>
      </c>
      <c r="C299" s="2" t="str">
        <f t="shared" si="1"/>
        <v>LINDEINDIA.NS</v>
      </c>
    </row>
    <row r="300" ht="14.25" customHeight="1">
      <c r="A300" s="5" t="s">
        <v>352</v>
      </c>
      <c r="B300" s="3" t="s">
        <v>53</v>
      </c>
      <c r="C300" s="2" t="str">
        <f t="shared" si="1"/>
        <v>LLOYDSME.NS</v>
      </c>
    </row>
    <row r="301" ht="14.25" customHeight="1">
      <c r="A301" s="5" t="s">
        <v>353</v>
      </c>
      <c r="B301" s="3" t="s">
        <v>53</v>
      </c>
      <c r="C301" s="2" t="str">
        <f t="shared" si="1"/>
        <v>LUPIN.NS</v>
      </c>
    </row>
    <row r="302" ht="14.25" customHeight="1">
      <c r="A302" s="5" t="s">
        <v>354</v>
      </c>
      <c r="B302" s="3" t="s">
        <v>53</v>
      </c>
      <c r="C302" s="2" t="str">
        <f t="shared" si="1"/>
        <v>MMTC.NS</v>
      </c>
    </row>
    <row r="303" ht="14.25" customHeight="1">
      <c r="A303" s="5" t="s">
        <v>355</v>
      </c>
      <c r="B303" s="3" t="s">
        <v>53</v>
      </c>
      <c r="C303" s="2" t="str">
        <f t="shared" si="1"/>
        <v>MRF.NS</v>
      </c>
    </row>
    <row r="304" ht="14.25" customHeight="1">
      <c r="A304" s="5" t="s">
        <v>356</v>
      </c>
      <c r="B304" s="3" t="s">
        <v>53</v>
      </c>
      <c r="C304" s="2" t="str">
        <f t="shared" si="1"/>
        <v>MTARTECH.NS</v>
      </c>
    </row>
    <row r="305" ht="14.25" customHeight="1">
      <c r="A305" s="5" t="s">
        <v>357</v>
      </c>
      <c r="B305" s="3" t="s">
        <v>53</v>
      </c>
      <c r="C305" s="2" t="str">
        <f t="shared" si="1"/>
        <v>LODHA.NS</v>
      </c>
    </row>
    <row r="306" ht="14.25" customHeight="1">
      <c r="A306" s="5" t="s">
        <v>358</v>
      </c>
      <c r="B306" s="3" t="s">
        <v>53</v>
      </c>
      <c r="C306" s="2" t="str">
        <f t="shared" si="1"/>
        <v>MGL.NS</v>
      </c>
    </row>
    <row r="307" ht="14.25" customHeight="1">
      <c r="A307" s="5" t="s">
        <v>359</v>
      </c>
      <c r="B307" s="3" t="s">
        <v>53</v>
      </c>
      <c r="C307" s="2" t="str">
        <f t="shared" si="1"/>
        <v>MAHSEAMLES.NS</v>
      </c>
    </row>
    <row r="308" ht="14.25" customHeight="1">
      <c r="A308" s="5" t="s">
        <v>360</v>
      </c>
      <c r="B308" s="3" t="s">
        <v>53</v>
      </c>
      <c r="C308" s="2" t="str">
        <f t="shared" si="1"/>
        <v>M&amp;MFIN.NS</v>
      </c>
    </row>
    <row r="309" ht="14.25" customHeight="1">
      <c r="A309" s="5" t="s">
        <v>361</v>
      </c>
      <c r="B309" s="3" t="s">
        <v>53</v>
      </c>
      <c r="C309" s="2" t="str">
        <f t="shared" si="1"/>
        <v>M&amp;M.NS</v>
      </c>
    </row>
    <row r="310" ht="14.25" customHeight="1">
      <c r="A310" s="5" t="s">
        <v>362</v>
      </c>
      <c r="B310" s="3" t="s">
        <v>53</v>
      </c>
      <c r="C310" s="2" t="str">
        <f t="shared" si="1"/>
        <v>MHRIL.NS</v>
      </c>
    </row>
    <row r="311" ht="14.25" customHeight="1">
      <c r="A311" s="5" t="s">
        <v>363</v>
      </c>
      <c r="B311" s="3" t="s">
        <v>53</v>
      </c>
      <c r="C311" s="2" t="str">
        <f t="shared" si="1"/>
        <v>MAHLIFE.NS</v>
      </c>
    </row>
    <row r="312" ht="14.25" customHeight="1">
      <c r="A312" s="5" t="s">
        <v>364</v>
      </c>
      <c r="B312" s="3" t="s">
        <v>53</v>
      </c>
      <c r="C312" s="2" t="str">
        <f t="shared" si="1"/>
        <v>MANAPPURAM.NS</v>
      </c>
    </row>
    <row r="313" ht="14.25" customHeight="1">
      <c r="A313" s="5" t="s">
        <v>365</v>
      </c>
      <c r="B313" s="3" t="s">
        <v>53</v>
      </c>
      <c r="C313" s="2" t="str">
        <f t="shared" si="1"/>
        <v>MRPL.NS</v>
      </c>
    </row>
    <row r="314" ht="14.25" customHeight="1">
      <c r="A314" s="5" t="s">
        <v>366</v>
      </c>
      <c r="B314" s="3" t="s">
        <v>53</v>
      </c>
      <c r="C314" s="2" t="str">
        <f t="shared" si="1"/>
        <v>MANKIND.NS</v>
      </c>
    </row>
    <row r="315" ht="14.25" customHeight="1">
      <c r="A315" s="5" t="s">
        <v>367</v>
      </c>
      <c r="B315" s="3" t="s">
        <v>53</v>
      </c>
      <c r="C315" s="2" t="str">
        <f t="shared" si="1"/>
        <v>MARICO.NS</v>
      </c>
    </row>
    <row r="316" ht="14.25" customHeight="1">
      <c r="A316" s="5" t="s">
        <v>368</v>
      </c>
      <c r="B316" s="3" t="s">
        <v>53</v>
      </c>
      <c r="C316" s="2" t="str">
        <f t="shared" si="1"/>
        <v>MARUTI.NS</v>
      </c>
    </row>
    <row r="317" ht="14.25" customHeight="1">
      <c r="A317" s="5" t="s">
        <v>369</v>
      </c>
      <c r="B317" s="3" t="s">
        <v>53</v>
      </c>
      <c r="C317" s="2" t="str">
        <f t="shared" si="1"/>
        <v>MASTEK.NS</v>
      </c>
    </row>
    <row r="318" ht="14.25" customHeight="1">
      <c r="A318" s="5" t="s">
        <v>370</v>
      </c>
      <c r="B318" s="3" t="s">
        <v>53</v>
      </c>
      <c r="C318" s="2" t="str">
        <f t="shared" si="1"/>
        <v>MFSL.NS</v>
      </c>
    </row>
    <row r="319" ht="14.25" customHeight="1">
      <c r="A319" s="5" t="s">
        <v>371</v>
      </c>
      <c r="B319" s="3" t="s">
        <v>53</v>
      </c>
      <c r="C319" s="2" t="str">
        <f t="shared" si="1"/>
        <v>MAXHEALTH.NS</v>
      </c>
    </row>
    <row r="320" ht="14.25" customHeight="1">
      <c r="A320" s="5" t="s">
        <v>372</v>
      </c>
      <c r="B320" s="3" t="s">
        <v>53</v>
      </c>
      <c r="C320" s="2" t="str">
        <f t="shared" si="1"/>
        <v>MAZDOCK.NS</v>
      </c>
    </row>
    <row r="321" ht="14.25" customHeight="1">
      <c r="A321" s="5" t="s">
        <v>373</v>
      </c>
      <c r="B321" s="3" t="s">
        <v>53</v>
      </c>
      <c r="C321" s="2" t="str">
        <f t="shared" si="1"/>
        <v>MEDPLUS.NS</v>
      </c>
    </row>
    <row r="322" ht="14.25" customHeight="1">
      <c r="A322" s="5" t="s">
        <v>374</v>
      </c>
      <c r="B322" s="3" t="s">
        <v>53</v>
      </c>
      <c r="C322" s="2" t="str">
        <f t="shared" si="1"/>
        <v>METROBRAND.NS</v>
      </c>
    </row>
    <row r="323" ht="14.25" customHeight="1">
      <c r="A323" s="5" t="s">
        <v>375</v>
      </c>
      <c r="B323" s="3" t="s">
        <v>53</v>
      </c>
      <c r="C323" s="2" t="str">
        <f t="shared" si="1"/>
        <v>METROPOLIS.NS</v>
      </c>
    </row>
    <row r="324" ht="14.25" customHeight="1">
      <c r="A324" s="5" t="s">
        <v>376</v>
      </c>
      <c r="B324" s="3" t="s">
        <v>53</v>
      </c>
      <c r="C324" s="2" t="str">
        <f t="shared" si="1"/>
        <v>MINDACORP.NS</v>
      </c>
    </row>
    <row r="325" ht="14.25" customHeight="1">
      <c r="A325" s="5" t="s">
        <v>377</v>
      </c>
      <c r="B325" s="3" t="s">
        <v>53</v>
      </c>
      <c r="C325" s="2" t="str">
        <f t="shared" si="1"/>
        <v>MSUMI.NS</v>
      </c>
    </row>
    <row r="326" ht="14.25" customHeight="1">
      <c r="A326" s="5" t="s">
        <v>378</v>
      </c>
      <c r="B326" s="3" t="s">
        <v>53</v>
      </c>
      <c r="C326" s="2" t="str">
        <f t="shared" si="1"/>
        <v>MOTILALOFS.NS</v>
      </c>
    </row>
    <row r="327" ht="14.25" customHeight="1">
      <c r="A327" s="5" t="s">
        <v>379</v>
      </c>
      <c r="B327" s="3" t="s">
        <v>53</v>
      </c>
      <c r="C327" s="2" t="str">
        <f t="shared" si="1"/>
        <v>MPHASIS.NS</v>
      </c>
    </row>
    <row r="328" ht="14.25" customHeight="1">
      <c r="A328" s="5" t="s">
        <v>380</v>
      </c>
      <c r="B328" s="3" t="s">
        <v>53</v>
      </c>
      <c r="C328" s="2" t="str">
        <f t="shared" si="1"/>
        <v>MCX.NS</v>
      </c>
    </row>
    <row r="329" ht="14.25" customHeight="1">
      <c r="A329" s="5" t="s">
        <v>381</v>
      </c>
      <c r="B329" s="3" t="s">
        <v>53</v>
      </c>
      <c r="C329" s="2" t="str">
        <f t="shared" si="1"/>
        <v>MUTHOOTFIN.NS</v>
      </c>
    </row>
    <row r="330" ht="14.25" customHeight="1">
      <c r="A330" s="5" t="s">
        <v>382</v>
      </c>
      <c r="B330" s="3" t="s">
        <v>53</v>
      </c>
      <c r="C330" s="2" t="str">
        <f t="shared" si="1"/>
        <v>NATCOPHARM.NS</v>
      </c>
    </row>
    <row r="331" ht="14.25" customHeight="1">
      <c r="A331" s="5" t="s">
        <v>383</v>
      </c>
      <c r="B331" s="3" t="s">
        <v>53</v>
      </c>
      <c r="C331" s="2" t="str">
        <f t="shared" si="1"/>
        <v>NBCC.NS</v>
      </c>
    </row>
    <row r="332" ht="14.25" customHeight="1">
      <c r="A332" s="5" t="s">
        <v>384</v>
      </c>
      <c r="B332" s="3" t="s">
        <v>53</v>
      </c>
      <c r="C332" s="2" t="str">
        <f t="shared" si="1"/>
        <v>NCC.NS</v>
      </c>
    </row>
    <row r="333" ht="14.25" customHeight="1">
      <c r="A333" s="5" t="s">
        <v>385</v>
      </c>
      <c r="B333" s="3" t="s">
        <v>53</v>
      </c>
      <c r="C333" s="2" t="str">
        <f t="shared" si="1"/>
        <v>NHPC.NS</v>
      </c>
    </row>
    <row r="334" ht="14.25" customHeight="1">
      <c r="A334" s="5" t="s">
        <v>386</v>
      </c>
      <c r="B334" s="3" t="s">
        <v>53</v>
      </c>
      <c r="C334" s="2" t="str">
        <f t="shared" si="1"/>
        <v>NLCINDIA.NS</v>
      </c>
    </row>
    <row r="335" ht="14.25" customHeight="1">
      <c r="A335" s="5" t="s">
        <v>387</v>
      </c>
      <c r="B335" s="3" t="s">
        <v>53</v>
      </c>
      <c r="C335" s="2" t="str">
        <f t="shared" si="1"/>
        <v>NMDC.NS</v>
      </c>
    </row>
    <row r="336" ht="14.25" customHeight="1">
      <c r="A336" s="5" t="s">
        <v>388</v>
      </c>
      <c r="B336" s="3" t="s">
        <v>53</v>
      </c>
      <c r="C336" s="2" t="str">
        <f t="shared" si="1"/>
        <v>NSLNISP.NS</v>
      </c>
    </row>
    <row r="337" ht="14.25" customHeight="1">
      <c r="A337" s="5" t="s">
        <v>389</v>
      </c>
      <c r="B337" s="3" t="s">
        <v>53</v>
      </c>
      <c r="C337" s="2" t="str">
        <f t="shared" si="1"/>
        <v>NTPC.NS</v>
      </c>
    </row>
    <row r="338" ht="14.25" customHeight="1">
      <c r="A338" s="5" t="s">
        <v>390</v>
      </c>
      <c r="B338" s="3" t="s">
        <v>53</v>
      </c>
      <c r="C338" s="2" t="str">
        <f t="shared" si="1"/>
        <v>NH.NS</v>
      </c>
    </row>
    <row r="339" ht="14.25" customHeight="1">
      <c r="A339" s="5" t="s">
        <v>391</v>
      </c>
      <c r="B339" s="3" t="s">
        <v>53</v>
      </c>
      <c r="C339" s="2" t="str">
        <f t="shared" si="1"/>
        <v>NATIONALUM.NS</v>
      </c>
    </row>
    <row r="340" ht="14.25" customHeight="1">
      <c r="A340" s="5" t="s">
        <v>392</v>
      </c>
      <c r="B340" s="3" t="s">
        <v>53</v>
      </c>
      <c r="C340" s="2" t="str">
        <f t="shared" si="1"/>
        <v>NAVINFLUOR.NS</v>
      </c>
    </row>
    <row r="341" ht="14.25" customHeight="1">
      <c r="A341" s="5" t="s">
        <v>393</v>
      </c>
      <c r="B341" s="3" t="s">
        <v>53</v>
      </c>
      <c r="C341" s="2" t="str">
        <f t="shared" si="1"/>
        <v>NESTLEIND.NS</v>
      </c>
    </row>
    <row r="342" ht="14.25" customHeight="1">
      <c r="A342" s="5" t="s">
        <v>394</v>
      </c>
      <c r="B342" s="3" t="s">
        <v>53</v>
      </c>
      <c r="C342" s="2" t="str">
        <f t="shared" si="1"/>
        <v>NETWORK18.NS</v>
      </c>
    </row>
    <row r="343" ht="14.25" customHeight="1">
      <c r="A343" s="5" t="s">
        <v>395</v>
      </c>
      <c r="B343" s="3" t="s">
        <v>53</v>
      </c>
      <c r="C343" s="2" t="str">
        <f t="shared" si="1"/>
        <v>NAM-INDIA.NS</v>
      </c>
    </row>
    <row r="344" ht="14.25" customHeight="1">
      <c r="A344" s="5" t="s">
        <v>396</v>
      </c>
      <c r="B344" s="3" t="s">
        <v>53</v>
      </c>
      <c r="C344" s="2" t="str">
        <f t="shared" si="1"/>
        <v>NUVAMA.NS</v>
      </c>
    </row>
    <row r="345" ht="14.25" customHeight="1">
      <c r="A345" s="5" t="s">
        <v>397</v>
      </c>
      <c r="B345" s="3" t="s">
        <v>53</v>
      </c>
      <c r="C345" s="2" t="str">
        <f t="shared" si="1"/>
        <v>NUVOCO.NS</v>
      </c>
    </row>
    <row r="346" ht="14.25" customHeight="1">
      <c r="A346" s="5" t="s">
        <v>398</v>
      </c>
      <c r="B346" s="3" t="s">
        <v>53</v>
      </c>
      <c r="C346" s="2" t="str">
        <f t="shared" si="1"/>
        <v>OBEROIRLTY.NS</v>
      </c>
    </row>
    <row r="347" ht="14.25" customHeight="1">
      <c r="A347" s="5" t="s">
        <v>399</v>
      </c>
      <c r="B347" s="3" t="s">
        <v>53</v>
      </c>
      <c r="C347" s="2" t="str">
        <f t="shared" si="1"/>
        <v>ONGC.NS</v>
      </c>
    </row>
    <row r="348" ht="14.25" customHeight="1">
      <c r="A348" s="5" t="s">
        <v>400</v>
      </c>
      <c r="B348" s="3" t="s">
        <v>53</v>
      </c>
      <c r="C348" s="2" t="str">
        <f t="shared" si="1"/>
        <v>OIL.NS</v>
      </c>
    </row>
    <row r="349" ht="14.25" customHeight="1">
      <c r="A349" s="5" t="s">
        <v>401</v>
      </c>
      <c r="B349" s="3" t="s">
        <v>53</v>
      </c>
      <c r="C349" s="2" t="str">
        <f t="shared" si="1"/>
        <v>OLECTRA.NS</v>
      </c>
    </row>
    <row r="350" ht="14.25" customHeight="1">
      <c r="A350" s="5" t="s">
        <v>402</v>
      </c>
      <c r="B350" s="3" t="s">
        <v>53</v>
      </c>
      <c r="C350" s="2" t="str">
        <f t="shared" si="1"/>
        <v>PAYTM.NS</v>
      </c>
    </row>
    <row r="351" ht="14.25" customHeight="1">
      <c r="A351" s="5" t="s">
        <v>403</v>
      </c>
      <c r="B351" s="3" t="s">
        <v>53</v>
      </c>
      <c r="C351" s="2" t="str">
        <f t="shared" si="1"/>
        <v>OFSS.NS</v>
      </c>
    </row>
    <row r="352" ht="14.25" customHeight="1">
      <c r="A352" s="5" t="s">
        <v>404</v>
      </c>
      <c r="B352" s="3" t="s">
        <v>53</v>
      </c>
      <c r="C352" s="2" t="str">
        <f t="shared" si="1"/>
        <v>POLICYBZR.NS</v>
      </c>
    </row>
    <row r="353" ht="14.25" customHeight="1">
      <c r="A353" s="5" t="s">
        <v>405</v>
      </c>
      <c r="B353" s="3" t="s">
        <v>53</v>
      </c>
      <c r="C353" s="2" t="str">
        <f t="shared" si="1"/>
        <v>PCBL.NS</v>
      </c>
    </row>
    <row r="354" ht="14.25" customHeight="1">
      <c r="A354" s="5" t="s">
        <v>406</v>
      </c>
      <c r="B354" s="3" t="s">
        <v>53</v>
      </c>
      <c r="C354" s="2" t="str">
        <f t="shared" si="1"/>
        <v>PIIND.NS</v>
      </c>
    </row>
    <row r="355" ht="14.25" customHeight="1">
      <c r="A355" s="5" t="s">
        <v>407</v>
      </c>
      <c r="B355" s="3" t="s">
        <v>53</v>
      </c>
      <c r="C355" s="2" t="str">
        <f t="shared" si="1"/>
        <v>PNBHOUSING.NS</v>
      </c>
    </row>
    <row r="356" ht="14.25" customHeight="1">
      <c r="A356" s="5" t="s">
        <v>408</v>
      </c>
      <c r="B356" s="3" t="s">
        <v>53</v>
      </c>
      <c r="C356" s="2" t="str">
        <f t="shared" si="1"/>
        <v>PNCINFRA.NS</v>
      </c>
    </row>
    <row r="357" ht="14.25" customHeight="1">
      <c r="A357" s="5" t="s">
        <v>409</v>
      </c>
      <c r="B357" s="3" t="s">
        <v>53</v>
      </c>
      <c r="C357" s="2" t="str">
        <f t="shared" si="1"/>
        <v>PVRINOX.NS</v>
      </c>
    </row>
    <row r="358" ht="14.25" customHeight="1">
      <c r="A358" s="5" t="s">
        <v>410</v>
      </c>
      <c r="B358" s="3" t="s">
        <v>53</v>
      </c>
      <c r="C358" s="2" t="str">
        <f t="shared" si="1"/>
        <v>PAGEIND.NS</v>
      </c>
    </row>
    <row r="359" ht="14.25" customHeight="1">
      <c r="A359" s="5" t="s">
        <v>411</v>
      </c>
      <c r="B359" s="3" t="s">
        <v>53</v>
      </c>
      <c r="C359" s="2" t="str">
        <f t="shared" si="1"/>
        <v>PATANJALI.NS</v>
      </c>
    </row>
    <row r="360" ht="14.25" customHeight="1">
      <c r="A360" s="5" t="s">
        <v>412</v>
      </c>
      <c r="B360" s="3" t="s">
        <v>53</v>
      </c>
      <c r="C360" s="2" t="str">
        <f t="shared" si="1"/>
        <v>PERSISTENT.NS</v>
      </c>
    </row>
    <row r="361" ht="14.25" customHeight="1">
      <c r="A361" s="5" t="s">
        <v>413</v>
      </c>
      <c r="B361" s="3" t="s">
        <v>53</v>
      </c>
      <c r="C361" s="2" t="str">
        <f t="shared" si="1"/>
        <v>PETRONET.NS</v>
      </c>
    </row>
    <row r="362" ht="14.25" customHeight="1">
      <c r="A362" s="5" t="s">
        <v>414</v>
      </c>
      <c r="B362" s="3" t="s">
        <v>53</v>
      </c>
      <c r="C362" s="2" t="str">
        <f t="shared" si="1"/>
        <v>PHOENIXLTD.NS</v>
      </c>
    </row>
    <row r="363" ht="14.25" customHeight="1">
      <c r="A363" s="5" t="s">
        <v>415</v>
      </c>
      <c r="B363" s="3" t="s">
        <v>53</v>
      </c>
      <c r="C363" s="2" t="str">
        <f t="shared" si="1"/>
        <v>PIDILITIND.NS</v>
      </c>
    </row>
    <row r="364" ht="14.25" customHeight="1">
      <c r="A364" s="5" t="s">
        <v>416</v>
      </c>
      <c r="B364" s="3" t="s">
        <v>53</v>
      </c>
      <c r="C364" s="2" t="str">
        <f t="shared" si="1"/>
        <v>PEL.NS</v>
      </c>
    </row>
    <row r="365" ht="14.25" customHeight="1">
      <c r="A365" s="5" t="s">
        <v>417</v>
      </c>
      <c r="B365" s="3" t="s">
        <v>53</v>
      </c>
      <c r="C365" s="2" t="str">
        <f t="shared" si="1"/>
        <v>PPLPHARMA.NS</v>
      </c>
    </row>
    <row r="366" ht="14.25" customHeight="1">
      <c r="A366" s="5" t="s">
        <v>418</v>
      </c>
      <c r="B366" s="3" t="s">
        <v>53</v>
      </c>
      <c r="C366" s="2" t="str">
        <f t="shared" si="1"/>
        <v>POLYMED.NS</v>
      </c>
    </row>
    <row r="367" ht="14.25" customHeight="1">
      <c r="A367" s="5" t="s">
        <v>419</v>
      </c>
      <c r="B367" s="3" t="s">
        <v>53</v>
      </c>
      <c r="C367" s="2" t="str">
        <f t="shared" si="1"/>
        <v>POLYCAB.NS</v>
      </c>
    </row>
    <row r="368" ht="14.25" customHeight="1">
      <c r="A368" s="5" t="s">
        <v>420</v>
      </c>
      <c r="B368" s="3" t="s">
        <v>53</v>
      </c>
      <c r="C368" s="2" t="str">
        <f t="shared" si="1"/>
        <v>POONAWALLA.NS</v>
      </c>
    </row>
    <row r="369" ht="14.25" customHeight="1">
      <c r="A369" s="5" t="s">
        <v>421</v>
      </c>
      <c r="B369" s="3" t="s">
        <v>53</v>
      </c>
      <c r="C369" s="2" t="str">
        <f t="shared" si="1"/>
        <v>PFC.NS</v>
      </c>
    </row>
    <row r="370" ht="14.25" customHeight="1">
      <c r="A370" s="5" t="s">
        <v>422</v>
      </c>
      <c r="B370" s="3" t="s">
        <v>53</v>
      </c>
      <c r="C370" s="2" t="str">
        <f t="shared" si="1"/>
        <v>POWERGRID.NS</v>
      </c>
    </row>
    <row r="371" ht="14.25" customHeight="1">
      <c r="A371" s="5" t="s">
        <v>423</v>
      </c>
      <c r="B371" s="3" t="s">
        <v>53</v>
      </c>
      <c r="C371" s="2" t="str">
        <f t="shared" si="1"/>
        <v>PRAJIND.NS</v>
      </c>
    </row>
    <row r="372" ht="14.25" customHeight="1">
      <c r="A372" s="5" t="s">
        <v>424</v>
      </c>
      <c r="B372" s="3" t="s">
        <v>53</v>
      </c>
      <c r="C372" s="2" t="str">
        <f t="shared" si="1"/>
        <v>PRESTIGE.NS</v>
      </c>
    </row>
    <row r="373" ht="14.25" customHeight="1">
      <c r="A373" s="5" t="s">
        <v>425</v>
      </c>
      <c r="B373" s="3" t="s">
        <v>53</v>
      </c>
      <c r="C373" s="2" t="str">
        <f t="shared" si="1"/>
        <v>PRINCEPIPE.NS</v>
      </c>
    </row>
    <row r="374" ht="14.25" customHeight="1">
      <c r="A374" s="5" t="s">
        <v>426</v>
      </c>
      <c r="B374" s="3" t="s">
        <v>53</v>
      </c>
      <c r="C374" s="2" t="str">
        <f t="shared" si="1"/>
        <v>PRSMJOHNSN.NS</v>
      </c>
    </row>
    <row r="375" ht="14.25" customHeight="1">
      <c r="A375" s="5" t="s">
        <v>427</v>
      </c>
      <c r="B375" s="3" t="s">
        <v>53</v>
      </c>
      <c r="C375" s="2" t="str">
        <f t="shared" si="1"/>
        <v>PGHH.NS</v>
      </c>
    </row>
    <row r="376" ht="14.25" customHeight="1">
      <c r="A376" s="5" t="s">
        <v>428</v>
      </c>
      <c r="B376" s="3" t="s">
        <v>53</v>
      </c>
      <c r="C376" s="2" t="str">
        <f t="shared" si="1"/>
        <v>PNB.NS</v>
      </c>
    </row>
    <row r="377" ht="14.25" customHeight="1">
      <c r="A377" s="5" t="s">
        <v>429</v>
      </c>
      <c r="B377" s="3" t="s">
        <v>53</v>
      </c>
      <c r="C377" s="2" t="str">
        <f t="shared" si="1"/>
        <v>QUESS.NS</v>
      </c>
    </row>
    <row r="378" ht="14.25" customHeight="1">
      <c r="A378" s="5" t="s">
        <v>430</v>
      </c>
      <c r="B378" s="3" t="s">
        <v>53</v>
      </c>
      <c r="C378" s="2" t="str">
        <f t="shared" si="1"/>
        <v>RRKABEL.NS</v>
      </c>
    </row>
    <row r="379" ht="14.25" customHeight="1">
      <c r="A379" s="5" t="s">
        <v>431</v>
      </c>
      <c r="B379" s="3" t="s">
        <v>53</v>
      </c>
      <c r="C379" s="2" t="str">
        <f t="shared" si="1"/>
        <v>RBLBANK.NS</v>
      </c>
    </row>
    <row r="380" ht="14.25" customHeight="1">
      <c r="A380" s="5" t="s">
        <v>432</v>
      </c>
      <c r="B380" s="3" t="s">
        <v>53</v>
      </c>
      <c r="C380" s="2" t="str">
        <f t="shared" si="1"/>
        <v>RECLTD.NS</v>
      </c>
    </row>
    <row r="381" ht="14.25" customHeight="1">
      <c r="A381" s="5" t="s">
        <v>433</v>
      </c>
      <c r="B381" s="3" t="s">
        <v>53</v>
      </c>
      <c r="C381" s="2" t="str">
        <f t="shared" si="1"/>
        <v>RHIM.NS</v>
      </c>
    </row>
    <row r="382" ht="14.25" customHeight="1">
      <c r="A382" s="5" t="s">
        <v>434</v>
      </c>
      <c r="B382" s="3" t="s">
        <v>53</v>
      </c>
      <c r="C382" s="2" t="str">
        <f t="shared" si="1"/>
        <v>RITES.NS</v>
      </c>
    </row>
    <row r="383" ht="14.25" customHeight="1">
      <c r="A383" s="5" t="s">
        <v>435</v>
      </c>
      <c r="B383" s="3" t="s">
        <v>53</v>
      </c>
      <c r="C383" s="2" t="str">
        <f t="shared" si="1"/>
        <v>RADICO.NS</v>
      </c>
    </row>
    <row r="384" ht="14.25" customHeight="1">
      <c r="A384" s="5" t="s">
        <v>436</v>
      </c>
      <c r="B384" s="3" t="s">
        <v>53</v>
      </c>
      <c r="C384" s="2" t="str">
        <f t="shared" si="1"/>
        <v>RVNL.NS</v>
      </c>
    </row>
    <row r="385" ht="14.25" customHeight="1">
      <c r="A385" s="5" t="s">
        <v>437</v>
      </c>
      <c r="B385" s="3" t="s">
        <v>53</v>
      </c>
      <c r="C385" s="2" t="str">
        <f t="shared" si="1"/>
        <v>RAILTEL.NS</v>
      </c>
    </row>
    <row r="386" ht="14.25" customHeight="1">
      <c r="A386" s="5" t="s">
        <v>438</v>
      </c>
      <c r="B386" s="3" t="s">
        <v>53</v>
      </c>
      <c r="C386" s="2" t="str">
        <f t="shared" si="1"/>
        <v>RAINBOW.NS</v>
      </c>
    </row>
    <row r="387" ht="14.25" customHeight="1">
      <c r="A387" s="5" t="s">
        <v>439</v>
      </c>
      <c r="B387" s="3" t="s">
        <v>53</v>
      </c>
      <c r="C387" s="2" t="str">
        <f t="shared" si="1"/>
        <v>RAJESHEXPO.NS</v>
      </c>
    </row>
    <row r="388" ht="14.25" customHeight="1">
      <c r="A388" s="5" t="s">
        <v>440</v>
      </c>
      <c r="B388" s="3" t="s">
        <v>53</v>
      </c>
      <c r="C388" s="2" t="str">
        <f t="shared" si="1"/>
        <v>RKFORGE.NS</v>
      </c>
    </row>
    <row r="389" ht="14.25" customHeight="1">
      <c r="A389" s="5" t="s">
        <v>441</v>
      </c>
      <c r="B389" s="3" t="s">
        <v>53</v>
      </c>
      <c r="C389" s="2" t="str">
        <f t="shared" si="1"/>
        <v>RCF.NS</v>
      </c>
    </row>
    <row r="390" ht="14.25" customHeight="1">
      <c r="A390" s="5" t="s">
        <v>442</v>
      </c>
      <c r="B390" s="3" t="s">
        <v>53</v>
      </c>
      <c r="C390" s="2" t="str">
        <f t="shared" si="1"/>
        <v>RATNAMANI.NS</v>
      </c>
    </row>
    <row r="391" ht="14.25" customHeight="1">
      <c r="A391" s="5" t="s">
        <v>443</v>
      </c>
      <c r="B391" s="3" t="s">
        <v>53</v>
      </c>
      <c r="C391" s="2" t="str">
        <f t="shared" si="1"/>
        <v>RTNINDIA.NS</v>
      </c>
    </row>
    <row r="392" ht="14.25" customHeight="1">
      <c r="A392" s="5" t="s">
        <v>444</v>
      </c>
      <c r="B392" s="3" t="s">
        <v>53</v>
      </c>
      <c r="C392" s="2" t="str">
        <f t="shared" si="1"/>
        <v>RAYMOND.NS</v>
      </c>
    </row>
    <row r="393" ht="14.25" customHeight="1">
      <c r="A393" s="5" t="s">
        <v>445</v>
      </c>
      <c r="B393" s="3" t="s">
        <v>53</v>
      </c>
      <c r="C393" s="2" t="str">
        <f t="shared" si="1"/>
        <v>REDINGTON.NS</v>
      </c>
    </row>
    <row r="394" ht="14.25" customHeight="1">
      <c r="A394" s="5" t="s">
        <v>446</v>
      </c>
      <c r="B394" s="3" t="s">
        <v>53</v>
      </c>
      <c r="C394" s="2" t="str">
        <f t="shared" si="1"/>
        <v>RELIANCE.NS</v>
      </c>
    </row>
    <row r="395" ht="14.25" customHeight="1">
      <c r="A395" s="5" t="s">
        <v>447</v>
      </c>
      <c r="B395" s="3" t="s">
        <v>53</v>
      </c>
      <c r="C395" s="2" t="str">
        <f t="shared" si="1"/>
        <v>RBA.NS</v>
      </c>
    </row>
    <row r="396" ht="14.25" customHeight="1">
      <c r="A396" s="5" t="s">
        <v>448</v>
      </c>
      <c r="B396" s="3" t="s">
        <v>53</v>
      </c>
      <c r="C396" s="2" t="str">
        <f t="shared" si="1"/>
        <v>ROUTE.NS</v>
      </c>
    </row>
    <row r="397" ht="14.25" customHeight="1">
      <c r="A397" s="5" t="s">
        <v>449</v>
      </c>
      <c r="B397" s="3" t="s">
        <v>53</v>
      </c>
      <c r="C397" s="2" t="str">
        <f t="shared" si="1"/>
        <v>SBFC.NS</v>
      </c>
    </row>
    <row r="398" ht="14.25" customHeight="1">
      <c r="A398" s="5" t="s">
        <v>450</v>
      </c>
      <c r="B398" s="3" t="s">
        <v>53</v>
      </c>
      <c r="C398" s="2" t="str">
        <f t="shared" si="1"/>
        <v>SBICARD.NS</v>
      </c>
    </row>
    <row r="399" ht="14.25" customHeight="1">
      <c r="A399" s="5" t="s">
        <v>451</v>
      </c>
      <c r="B399" s="3" t="s">
        <v>53</v>
      </c>
      <c r="C399" s="2" t="str">
        <f t="shared" si="1"/>
        <v>SBILIFE.NS</v>
      </c>
    </row>
    <row r="400" ht="14.25" customHeight="1">
      <c r="A400" s="5" t="s">
        <v>452</v>
      </c>
      <c r="B400" s="3" t="s">
        <v>53</v>
      </c>
      <c r="C400" s="2" t="str">
        <f t="shared" si="1"/>
        <v>SJVN.NS</v>
      </c>
    </row>
    <row r="401" ht="14.25" customHeight="1">
      <c r="A401" s="5" t="s">
        <v>453</v>
      </c>
      <c r="B401" s="3" t="s">
        <v>53</v>
      </c>
      <c r="C401" s="2" t="str">
        <f t="shared" si="1"/>
        <v>SKFINDIA.NS</v>
      </c>
    </row>
    <row r="402" ht="14.25" customHeight="1">
      <c r="A402" s="5" t="s">
        <v>454</v>
      </c>
      <c r="B402" s="3" t="s">
        <v>53</v>
      </c>
      <c r="C402" s="2" t="str">
        <f t="shared" si="1"/>
        <v>SRF.NS</v>
      </c>
    </row>
    <row r="403" ht="14.25" customHeight="1">
      <c r="A403" s="5" t="s">
        <v>455</v>
      </c>
      <c r="B403" s="3" t="s">
        <v>53</v>
      </c>
      <c r="C403" s="2" t="str">
        <f t="shared" si="1"/>
        <v>SAFARI.NS</v>
      </c>
    </row>
    <row r="404" ht="14.25" customHeight="1">
      <c r="A404" s="5" t="s">
        <v>456</v>
      </c>
      <c r="B404" s="3" t="s">
        <v>53</v>
      </c>
      <c r="C404" s="2" t="str">
        <f t="shared" si="1"/>
        <v>MOTHERSON.NS</v>
      </c>
    </row>
    <row r="405" ht="14.25" customHeight="1">
      <c r="A405" s="5" t="s">
        <v>457</v>
      </c>
      <c r="B405" s="3" t="s">
        <v>53</v>
      </c>
      <c r="C405" s="2" t="str">
        <f t="shared" si="1"/>
        <v>SANOFI.NS</v>
      </c>
    </row>
    <row r="406" ht="14.25" customHeight="1">
      <c r="A406" s="5" t="s">
        <v>458</v>
      </c>
      <c r="B406" s="3" t="s">
        <v>53</v>
      </c>
      <c r="C406" s="2" t="str">
        <f t="shared" si="1"/>
        <v>SAPPHIRE.NS</v>
      </c>
    </row>
    <row r="407" ht="14.25" customHeight="1">
      <c r="A407" s="5" t="s">
        <v>459</v>
      </c>
      <c r="B407" s="3" t="s">
        <v>53</v>
      </c>
      <c r="C407" s="2" t="str">
        <f t="shared" si="1"/>
        <v>SAREGAMA.NS</v>
      </c>
    </row>
    <row r="408" ht="14.25" customHeight="1">
      <c r="A408" s="5" t="s">
        <v>460</v>
      </c>
      <c r="B408" s="3" t="s">
        <v>53</v>
      </c>
      <c r="C408" s="2" t="str">
        <f t="shared" si="1"/>
        <v>SCHAEFFLER.NS</v>
      </c>
    </row>
    <row r="409" ht="14.25" customHeight="1">
      <c r="A409" s="5" t="s">
        <v>461</v>
      </c>
      <c r="B409" s="3" t="s">
        <v>53</v>
      </c>
      <c r="C409" s="2" t="str">
        <f t="shared" si="1"/>
        <v>SCHNEIDER.NS</v>
      </c>
    </row>
    <row r="410" ht="14.25" customHeight="1">
      <c r="A410" s="5" t="s">
        <v>462</v>
      </c>
      <c r="B410" s="3" t="s">
        <v>53</v>
      </c>
      <c r="C410" s="2" t="str">
        <f t="shared" si="1"/>
        <v>SHREECEM.NS</v>
      </c>
    </row>
    <row r="411" ht="14.25" customHeight="1">
      <c r="A411" s="5" t="s">
        <v>463</v>
      </c>
      <c r="B411" s="3" t="s">
        <v>53</v>
      </c>
      <c r="C411" s="2" t="str">
        <f t="shared" si="1"/>
        <v>RENUKA.NS</v>
      </c>
    </row>
    <row r="412" ht="14.25" customHeight="1">
      <c r="A412" s="5" t="s">
        <v>464</v>
      </c>
      <c r="B412" s="3" t="s">
        <v>53</v>
      </c>
      <c r="C412" s="2" t="str">
        <f t="shared" si="1"/>
        <v>SHRIRAMFIN.NS</v>
      </c>
    </row>
    <row r="413" ht="14.25" customHeight="1">
      <c r="A413" s="5" t="s">
        <v>465</v>
      </c>
      <c r="B413" s="3" t="s">
        <v>53</v>
      </c>
      <c r="C413" s="2" t="str">
        <f t="shared" si="1"/>
        <v>SHYAMMETL.NS</v>
      </c>
    </row>
    <row r="414" ht="14.25" customHeight="1">
      <c r="A414" s="5" t="s">
        <v>466</v>
      </c>
      <c r="B414" s="3" t="s">
        <v>53</v>
      </c>
      <c r="C414" s="2" t="str">
        <f t="shared" si="1"/>
        <v>SIEMENS.NS</v>
      </c>
    </row>
    <row r="415" ht="14.25" customHeight="1">
      <c r="A415" s="5" t="s">
        <v>467</v>
      </c>
      <c r="B415" s="3" t="s">
        <v>53</v>
      </c>
      <c r="C415" s="2" t="str">
        <f t="shared" si="1"/>
        <v>SIGNATURE.NS</v>
      </c>
    </row>
    <row r="416" ht="14.25" customHeight="1">
      <c r="A416" s="5" t="s">
        <v>468</v>
      </c>
      <c r="B416" s="3" t="s">
        <v>53</v>
      </c>
      <c r="C416" s="2" t="str">
        <f t="shared" si="1"/>
        <v>SOBHA.NS</v>
      </c>
    </row>
    <row r="417" ht="14.25" customHeight="1">
      <c r="A417" s="5" t="s">
        <v>469</v>
      </c>
      <c r="B417" s="3" t="s">
        <v>53</v>
      </c>
      <c r="C417" s="2" t="str">
        <f t="shared" si="1"/>
        <v>SOLARINDS.NS</v>
      </c>
    </row>
    <row r="418" ht="14.25" customHeight="1">
      <c r="A418" s="5" t="s">
        <v>470</v>
      </c>
      <c r="B418" s="3" t="s">
        <v>53</v>
      </c>
      <c r="C418" s="2" t="str">
        <f t="shared" si="1"/>
        <v>SONACOMS.NS</v>
      </c>
    </row>
    <row r="419" ht="14.25" customHeight="1">
      <c r="A419" s="5" t="s">
        <v>471</v>
      </c>
      <c r="B419" s="3" t="s">
        <v>53</v>
      </c>
      <c r="C419" s="2" t="str">
        <f t="shared" si="1"/>
        <v>SONATSOFTW.NS</v>
      </c>
    </row>
    <row r="420" ht="14.25" customHeight="1">
      <c r="A420" s="5" t="s">
        <v>472</v>
      </c>
      <c r="B420" s="3" t="s">
        <v>53</v>
      </c>
      <c r="C420" s="2" t="str">
        <f t="shared" si="1"/>
        <v>STARHEALTH.NS</v>
      </c>
    </row>
    <row r="421" ht="14.25" customHeight="1">
      <c r="A421" s="5" t="s">
        <v>473</v>
      </c>
      <c r="B421" s="3" t="s">
        <v>53</v>
      </c>
      <c r="C421" s="2" t="str">
        <f t="shared" si="1"/>
        <v>SBIN.NS</v>
      </c>
    </row>
    <row r="422" ht="14.25" customHeight="1">
      <c r="A422" s="5" t="s">
        <v>474</v>
      </c>
      <c r="B422" s="3" t="s">
        <v>53</v>
      </c>
      <c r="C422" s="2" t="str">
        <f t="shared" si="1"/>
        <v>SAIL.NS</v>
      </c>
    </row>
    <row r="423" ht="14.25" customHeight="1">
      <c r="A423" s="5" t="s">
        <v>475</v>
      </c>
      <c r="B423" s="3" t="s">
        <v>53</v>
      </c>
      <c r="C423" s="2" t="str">
        <f t="shared" si="1"/>
        <v>SWSOLAR.NS</v>
      </c>
    </row>
    <row r="424" ht="14.25" customHeight="1">
      <c r="A424" s="5" t="s">
        <v>476</v>
      </c>
      <c r="B424" s="3" t="s">
        <v>53</v>
      </c>
      <c r="C424" s="2" t="str">
        <f t="shared" si="1"/>
        <v>STLTECH.NS</v>
      </c>
    </row>
    <row r="425" ht="14.25" customHeight="1">
      <c r="A425" s="5" t="s">
        <v>477</v>
      </c>
      <c r="B425" s="3" t="s">
        <v>53</v>
      </c>
      <c r="C425" s="2" t="str">
        <f t="shared" si="1"/>
        <v>SUMICHEM.NS</v>
      </c>
    </row>
    <row r="426" ht="14.25" customHeight="1">
      <c r="A426" s="5" t="s">
        <v>478</v>
      </c>
      <c r="B426" s="3" t="s">
        <v>53</v>
      </c>
      <c r="C426" s="2" t="str">
        <f t="shared" si="1"/>
        <v>SPARC.NS</v>
      </c>
    </row>
    <row r="427" ht="14.25" customHeight="1">
      <c r="A427" s="5" t="s">
        <v>479</v>
      </c>
      <c r="B427" s="3" t="s">
        <v>53</v>
      </c>
      <c r="C427" s="2" t="str">
        <f t="shared" si="1"/>
        <v>SUNPHARMA.NS</v>
      </c>
    </row>
    <row r="428" ht="14.25" customHeight="1">
      <c r="A428" s="5" t="s">
        <v>480</v>
      </c>
      <c r="B428" s="3" t="s">
        <v>53</v>
      </c>
      <c r="C428" s="2" t="str">
        <f t="shared" si="1"/>
        <v>SUNTV.NS</v>
      </c>
    </row>
    <row r="429" ht="14.25" customHeight="1">
      <c r="A429" s="5" t="s">
        <v>481</v>
      </c>
      <c r="B429" s="3" t="s">
        <v>53</v>
      </c>
      <c r="C429" s="2" t="str">
        <f t="shared" si="1"/>
        <v>SUNDARMFIN.NS</v>
      </c>
    </row>
    <row r="430" ht="14.25" customHeight="1">
      <c r="A430" s="5" t="s">
        <v>482</v>
      </c>
      <c r="B430" s="3" t="s">
        <v>53</v>
      </c>
      <c r="C430" s="2" t="str">
        <f t="shared" si="1"/>
        <v>SUNDRMFAST.NS</v>
      </c>
    </row>
    <row r="431" ht="14.25" customHeight="1">
      <c r="A431" s="5" t="s">
        <v>483</v>
      </c>
      <c r="B431" s="3" t="s">
        <v>53</v>
      </c>
      <c r="C431" s="2" t="str">
        <f t="shared" si="1"/>
        <v>SUNTECK.NS</v>
      </c>
    </row>
    <row r="432" ht="14.25" customHeight="1">
      <c r="A432" s="5" t="s">
        <v>484</v>
      </c>
      <c r="B432" s="3" t="s">
        <v>53</v>
      </c>
      <c r="C432" s="2" t="str">
        <f t="shared" si="1"/>
        <v>SUPREMEIND.NS</v>
      </c>
    </row>
    <row r="433" ht="14.25" customHeight="1">
      <c r="A433" s="5" t="s">
        <v>485</v>
      </c>
      <c r="B433" s="3" t="s">
        <v>53</v>
      </c>
      <c r="C433" s="2" t="str">
        <f t="shared" si="1"/>
        <v>SUVENPHAR.NS</v>
      </c>
    </row>
    <row r="434" ht="14.25" customHeight="1">
      <c r="A434" s="5" t="s">
        <v>486</v>
      </c>
      <c r="B434" s="3" t="s">
        <v>53</v>
      </c>
      <c r="C434" s="2" t="str">
        <f t="shared" si="1"/>
        <v>SUZLON.NS</v>
      </c>
    </row>
    <row r="435" ht="14.25" customHeight="1">
      <c r="A435" s="5" t="s">
        <v>487</v>
      </c>
      <c r="B435" s="3" t="s">
        <v>53</v>
      </c>
      <c r="C435" s="2" t="str">
        <f t="shared" si="1"/>
        <v>SWANENERGY.NS</v>
      </c>
    </row>
    <row r="436" ht="14.25" customHeight="1">
      <c r="A436" s="5" t="s">
        <v>488</v>
      </c>
      <c r="B436" s="3" t="s">
        <v>53</v>
      </c>
      <c r="C436" s="2" t="str">
        <f t="shared" si="1"/>
        <v>SYNGENE.NS</v>
      </c>
    </row>
    <row r="437" ht="14.25" customHeight="1">
      <c r="A437" s="5" t="s">
        <v>489</v>
      </c>
      <c r="B437" s="3" t="s">
        <v>53</v>
      </c>
      <c r="C437" s="2" t="str">
        <f t="shared" si="1"/>
        <v>SYRMA.NS</v>
      </c>
    </row>
    <row r="438" ht="14.25" customHeight="1">
      <c r="A438" s="5" t="s">
        <v>490</v>
      </c>
      <c r="B438" s="3" t="s">
        <v>53</v>
      </c>
      <c r="C438" s="2" t="str">
        <f t="shared" si="1"/>
        <v>TV18BRDCST.NS</v>
      </c>
    </row>
    <row r="439" ht="14.25" customHeight="1">
      <c r="A439" s="5" t="s">
        <v>491</v>
      </c>
      <c r="B439" s="3" t="s">
        <v>53</v>
      </c>
      <c r="C439" s="2" t="str">
        <f t="shared" si="1"/>
        <v>TVSMOTOR.NS</v>
      </c>
    </row>
    <row r="440" ht="14.25" customHeight="1">
      <c r="A440" s="5" t="s">
        <v>492</v>
      </c>
      <c r="B440" s="3" t="s">
        <v>53</v>
      </c>
      <c r="C440" s="2" t="str">
        <f t="shared" si="1"/>
        <v>TVSSCS.NS</v>
      </c>
    </row>
    <row r="441" ht="14.25" customHeight="1">
      <c r="A441" s="5" t="s">
        <v>493</v>
      </c>
      <c r="B441" s="3" t="s">
        <v>53</v>
      </c>
      <c r="C441" s="2" t="str">
        <f t="shared" si="1"/>
        <v>TMB.NS</v>
      </c>
    </row>
    <row r="442" ht="14.25" customHeight="1">
      <c r="A442" s="5" t="s">
        <v>494</v>
      </c>
      <c r="B442" s="3" t="s">
        <v>53</v>
      </c>
      <c r="C442" s="2" t="str">
        <f t="shared" si="1"/>
        <v>TANLA.NS</v>
      </c>
    </row>
    <row r="443" ht="14.25" customHeight="1">
      <c r="A443" s="5" t="s">
        <v>495</v>
      </c>
      <c r="B443" s="3" t="s">
        <v>53</v>
      </c>
      <c r="C443" s="2" t="str">
        <f t="shared" si="1"/>
        <v>TATACHEM.NS</v>
      </c>
    </row>
    <row r="444" ht="14.25" customHeight="1">
      <c r="A444" s="5" t="s">
        <v>496</v>
      </c>
      <c r="B444" s="3" t="s">
        <v>53</v>
      </c>
      <c r="C444" s="2" t="str">
        <f t="shared" si="1"/>
        <v>TATACOMM.NS</v>
      </c>
    </row>
    <row r="445" ht="14.25" customHeight="1">
      <c r="A445" s="5" t="s">
        <v>497</v>
      </c>
      <c r="B445" s="3" t="s">
        <v>53</v>
      </c>
      <c r="C445" s="2" t="str">
        <f t="shared" si="1"/>
        <v>TCS.NS</v>
      </c>
    </row>
    <row r="446" ht="14.25" customHeight="1">
      <c r="A446" s="5" t="s">
        <v>498</v>
      </c>
      <c r="B446" s="3" t="s">
        <v>53</v>
      </c>
      <c r="C446" s="2" t="str">
        <f t="shared" si="1"/>
        <v>TATACONSUM.NS</v>
      </c>
    </row>
    <row r="447" ht="14.25" customHeight="1">
      <c r="A447" s="5" t="s">
        <v>499</v>
      </c>
      <c r="B447" s="3" t="s">
        <v>53</v>
      </c>
      <c r="C447" s="2" t="str">
        <f t="shared" si="1"/>
        <v>TATAELXSI.NS</v>
      </c>
    </row>
    <row r="448" ht="14.25" customHeight="1">
      <c r="A448" s="5" t="s">
        <v>500</v>
      </c>
      <c r="B448" s="3" t="s">
        <v>53</v>
      </c>
      <c r="C448" s="2" t="str">
        <f t="shared" si="1"/>
        <v>TATAINVEST.NS</v>
      </c>
    </row>
    <row r="449" ht="14.25" customHeight="1">
      <c r="A449" s="5" t="s">
        <v>501</v>
      </c>
      <c r="B449" s="3" t="s">
        <v>53</v>
      </c>
      <c r="C449" s="2" t="str">
        <f t="shared" si="1"/>
        <v>TATAMTRDVR.NS</v>
      </c>
    </row>
    <row r="450" ht="14.25" customHeight="1">
      <c r="A450" s="5" t="s">
        <v>502</v>
      </c>
      <c r="B450" s="3" t="s">
        <v>53</v>
      </c>
      <c r="C450" s="2" t="str">
        <f t="shared" si="1"/>
        <v>TATAMOTORS.NS</v>
      </c>
    </row>
    <row r="451" ht="14.25" customHeight="1">
      <c r="A451" s="5" t="s">
        <v>503</v>
      </c>
      <c r="B451" s="3" t="s">
        <v>53</v>
      </c>
      <c r="C451" s="2" t="str">
        <f t="shared" si="1"/>
        <v>TATAPOWER.NS</v>
      </c>
    </row>
    <row r="452" ht="14.25" customHeight="1">
      <c r="A452" s="5" t="s">
        <v>504</v>
      </c>
      <c r="B452" s="3" t="s">
        <v>53</v>
      </c>
      <c r="C452" s="2" t="str">
        <f t="shared" si="1"/>
        <v>TATASTEEL.NS</v>
      </c>
    </row>
    <row r="453" ht="14.25" customHeight="1">
      <c r="A453" s="5" t="s">
        <v>505</v>
      </c>
      <c r="B453" s="3" t="s">
        <v>53</v>
      </c>
      <c r="C453" s="2" t="str">
        <f t="shared" si="1"/>
        <v>TATATECH.NS</v>
      </c>
    </row>
    <row r="454" ht="14.25" customHeight="1">
      <c r="A454" s="5" t="s">
        <v>506</v>
      </c>
      <c r="B454" s="3" t="s">
        <v>53</v>
      </c>
      <c r="C454" s="2" t="str">
        <f t="shared" si="1"/>
        <v>TTML.NS</v>
      </c>
    </row>
    <row r="455" ht="14.25" customHeight="1">
      <c r="A455" s="5" t="s">
        <v>507</v>
      </c>
      <c r="B455" s="3" t="s">
        <v>53</v>
      </c>
      <c r="C455" s="2" t="str">
        <f t="shared" si="1"/>
        <v>TECHM.NS</v>
      </c>
    </row>
    <row r="456" ht="14.25" customHeight="1">
      <c r="A456" s="5" t="s">
        <v>508</v>
      </c>
      <c r="B456" s="3" t="s">
        <v>53</v>
      </c>
      <c r="C456" s="2" t="str">
        <f t="shared" si="1"/>
        <v>TEJASNET.NS</v>
      </c>
    </row>
    <row r="457" ht="14.25" customHeight="1">
      <c r="A457" s="5" t="s">
        <v>509</v>
      </c>
      <c r="B457" s="3" t="s">
        <v>53</v>
      </c>
      <c r="C457" s="2" t="str">
        <f t="shared" si="1"/>
        <v>NIACL.NS</v>
      </c>
    </row>
    <row r="458" ht="14.25" customHeight="1">
      <c r="A458" s="5" t="s">
        <v>510</v>
      </c>
      <c r="B458" s="3" t="s">
        <v>53</v>
      </c>
      <c r="C458" s="2" t="str">
        <f t="shared" si="1"/>
        <v>RAMCOCEM.NS</v>
      </c>
    </row>
    <row r="459" ht="14.25" customHeight="1">
      <c r="A459" s="5" t="s">
        <v>511</v>
      </c>
      <c r="B459" s="3" t="s">
        <v>53</v>
      </c>
      <c r="C459" s="2" t="str">
        <f t="shared" si="1"/>
        <v>THERMAX.NS</v>
      </c>
    </row>
    <row r="460" ht="14.25" customHeight="1">
      <c r="A460" s="5" t="s">
        <v>512</v>
      </c>
      <c r="B460" s="3" t="s">
        <v>53</v>
      </c>
      <c r="C460" s="2" t="str">
        <f t="shared" si="1"/>
        <v>TIMKEN.NS</v>
      </c>
    </row>
    <row r="461" ht="14.25" customHeight="1">
      <c r="A461" s="5" t="s">
        <v>513</v>
      </c>
      <c r="B461" s="3" t="s">
        <v>53</v>
      </c>
      <c r="C461" s="2" t="str">
        <f t="shared" si="1"/>
        <v>TITAGARH.NS</v>
      </c>
    </row>
    <row r="462" ht="14.25" customHeight="1">
      <c r="A462" s="5" t="s">
        <v>514</v>
      </c>
      <c r="B462" s="3" t="s">
        <v>53</v>
      </c>
      <c r="C462" s="2" t="str">
        <f t="shared" si="1"/>
        <v>TITAN.NS</v>
      </c>
    </row>
    <row r="463" ht="14.25" customHeight="1">
      <c r="A463" s="5" t="s">
        <v>515</v>
      </c>
      <c r="B463" s="3" t="s">
        <v>53</v>
      </c>
      <c r="C463" s="2" t="str">
        <f t="shared" si="1"/>
        <v>TORNTPHARM.NS</v>
      </c>
    </row>
    <row r="464" ht="14.25" customHeight="1">
      <c r="A464" s="5" t="s">
        <v>516</v>
      </c>
      <c r="B464" s="3" t="s">
        <v>53</v>
      </c>
      <c r="C464" s="2" t="str">
        <f t="shared" si="1"/>
        <v>TORNTPOWER.NS</v>
      </c>
    </row>
    <row r="465" ht="14.25" customHeight="1">
      <c r="A465" s="5" t="s">
        <v>517</v>
      </c>
      <c r="B465" s="3" t="s">
        <v>53</v>
      </c>
      <c r="C465" s="2" t="str">
        <f t="shared" si="1"/>
        <v>TRENT.NS</v>
      </c>
    </row>
    <row r="466" ht="14.25" customHeight="1">
      <c r="A466" s="5" t="s">
        <v>518</v>
      </c>
      <c r="B466" s="3" t="s">
        <v>53</v>
      </c>
      <c r="C466" s="2" t="str">
        <f t="shared" si="1"/>
        <v>TRIDENT.NS</v>
      </c>
    </row>
    <row r="467" ht="14.25" customHeight="1">
      <c r="A467" s="5" t="s">
        <v>519</v>
      </c>
      <c r="B467" s="3" t="s">
        <v>53</v>
      </c>
      <c r="C467" s="2" t="str">
        <f t="shared" si="1"/>
        <v>TRIVENI.NS</v>
      </c>
    </row>
    <row r="468" ht="14.25" customHeight="1">
      <c r="A468" s="5" t="s">
        <v>520</v>
      </c>
      <c r="B468" s="3" t="s">
        <v>53</v>
      </c>
      <c r="C468" s="2" t="str">
        <f t="shared" si="1"/>
        <v>TRITURBINE.NS</v>
      </c>
    </row>
    <row r="469" ht="14.25" customHeight="1">
      <c r="A469" s="5" t="s">
        <v>521</v>
      </c>
      <c r="B469" s="3" t="s">
        <v>53</v>
      </c>
      <c r="C469" s="2" t="str">
        <f t="shared" si="1"/>
        <v>TIINDIA.NS</v>
      </c>
    </row>
    <row r="470" ht="14.25" customHeight="1">
      <c r="A470" s="5" t="s">
        <v>522</v>
      </c>
      <c r="B470" s="3" t="s">
        <v>53</v>
      </c>
      <c r="C470" s="2" t="str">
        <f t="shared" si="1"/>
        <v>UCOBANK.NS</v>
      </c>
    </row>
    <row r="471" ht="14.25" customHeight="1">
      <c r="A471" s="5" t="s">
        <v>523</v>
      </c>
      <c r="B471" s="3" t="s">
        <v>53</v>
      </c>
      <c r="C471" s="2" t="str">
        <f t="shared" si="1"/>
        <v>UNOMINDA.NS</v>
      </c>
    </row>
    <row r="472" ht="14.25" customHeight="1">
      <c r="A472" s="5" t="s">
        <v>524</v>
      </c>
      <c r="B472" s="3" t="s">
        <v>53</v>
      </c>
      <c r="C472" s="2" t="str">
        <f t="shared" si="1"/>
        <v>UPL.NS</v>
      </c>
    </row>
    <row r="473" ht="14.25" customHeight="1">
      <c r="A473" s="5" t="s">
        <v>525</v>
      </c>
      <c r="B473" s="3" t="s">
        <v>53</v>
      </c>
      <c r="C473" s="2" t="str">
        <f t="shared" si="1"/>
        <v>UTIAMC.NS</v>
      </c>
    </row>
    <row r="474" ht="14.25" customHeight="1">
      <c r="A474" s="5" t="s">
        <v>526</v>
      </c>
      <c r="B474" s="3" t="s">
        <v>53</v>
      </c>
      <c r="C474" s="2" t="str">
        <f t="shared" si="1"/>
        <v>UJJIVANSFB.NS</v>
      </c>
    </row>
    <row r="475" ht="14.25" customHeight="1">
      <c r="A475" s="5" t="s">
        <v>527</v>
      </c>
      <c r="B475" s="3" t="s">
        <v>53</v>
      </c>
      <c r="C475" s="2" t="str">
        <f t="shared" si="1"/>
        <v>ULTRACEMCO.NS</v>
      </c>
    </row>
    <row r="476" ht="14.25" customHeight="1">
      <c r="A476" s="5" t="s">
        <v>528</v>
      </c>
      <c r="B476" s="3" t="s">
        <v>53</v>
      </c>
      <c r="C476" s="2" t="str">
        <f t="shared" si="1"/>
        <v>UNIONBANK.NS</v>
      </c>
    </row>
    <row r="477" ht="14.25" customHeight="1">
      <c r="A477" s="5" t="s">
        <v>529</v>
      </c>
      <c r="B477" s="3" t="s">
        <v>53</v>
      </c>
      <c r="C477" s="2" t="str">
        <f t="shared" si="1"/>
        <v>UBL.NS</v>
      </c>
    </row>
    <row r="478" ht="14.25" customHeight="1">
      <c r="A478" s="5" t="s">
        <v>530</v>
      </c>
      <c r="B478" s="3" t="s">
        <v>53</v>
      </c>
      <c r="C478" s="2" t="str">
        <f t="shared" si="1"/>
        <v>UNITDSPR.NS</v>
      </c>
    </row>
    <row r="479" ht="14.25" customHeight="1">
      <c r="A479" s="5" t="s">
        <v>531</v>
      </c>
      <c r="B479" s="3" t="s">
        <v>53</v>
      </c>
      <c r="C479" s="2" t="str">
        <f t="shared" si="1"/>
        <v>USHAMART.NS</v>
      </c>
    </row>
    <row r="480" ht="14.25" customHeight="1">
      <c r="A480" s="5" t="s">
        <v>532</v>
      </c>
      <c r="B480" s="3" t="s">
        <v>53</v>
      </c>
      <c r="C480" s="2" t="str">
        <f t="shared" si="1"/>
        <v>VGUARD.NS</v>
      </c>
    </row>
    <row r="481" ht="14.25" customHeight="1">
      <c r="A481" s="5" t="s">
        <v>533</v>
      </c>
      <c r="B481" s="3" t="s">
        <v>53</v>
      </c>
      <c r="C481" s="2" t="str">
        <f t="shared" si="1"/>
        <v>VIPIND.NS</v>
      </c>
      <c r="I481" s="6" t="s">
        <v>534</v>
      </c>
    </row>
    <row r="482" ht="14.25" customHeight="1">
      <c r="A482" s="5" t="s">
        <v>535</v>
      </c>
      <c r="B482" s="3" t="s">
        <v>53</v>
      </c>
      <c r="C482" s="2" t="str">
        <f t="shared" si="1"/>
        <v>VAIBHAVGBL.NS</v>
      </c>
      <c r="I482" s="7" t="s">
        <v>536</v>
      </c>
    </row>
    <row r="483" ht="14.25" customHeight="1">
      <c r="A483" s="5" t="s">
        <v>537</v>
      </c>
      <c r="B483" s="3" t="s">
        <v>53</v>
      </c>
      <c r="C483" s="2" t="str">
        <f t="shared" si="1"/>
        <v>VTL.NS</v>
      </c>
      <c r="I483" s="6" t="s">
        <v>538</v>
      </c>
    </row>
    <row r="484" ht="14.25" customHeight="1">
      <c r="A484" s="5" t="s">
        <v>539</v>
      </c>
      <c r="B484" s="3" t="s">
        <v>53</v>
      </c>
      <c r="C484" s="2" t="str">
        <f t="shared" si="1"/>
        <v>VARROC.NS</v>
      </c>
      <c r="I484" s="7" t="s">
        <v>540</v>
      </c>
    </row>
    <row r="485" ht="14.25" customHeight="1">
      <c r="A485" s="5" t="s">
        <v>541</v>
      </c>
      <c r="B485" s="3" t="s">
        <v>53</v>
      </c>
      <c r="C485" s="2" t="str">
        <f t="shared" si="1"/>
        <v>VBL.NS</v>
      </c>
      <c r="I485" s="6" t="s">
        <v>542</v>
      </c>
    </row>
    <row r="486" ht="14.25" customHeight="1">
      <c r="A486" s="5" t="s">
        <v>543</v>
      </c>
      <c r="B486" s="3" t="s">
        <v>53</v>
      </c>
      <c r="C486" s="2" t="str">
        <f t="shared" si="1"/>
        <v>MANYAVAR.NS</v>
      </c>
      <c r="I486" s="7" t="s">
        <v>544</v>
      </c>
    </row>
    <row r="487" ht="14.25" customHeight="1">
      <c r="A487" s="5" t="s">
        <v>545</v>
      </c>
      <c r="B487" s="3" t="s">
        <v>53</v>
      </c>
      <c r="C487" s="2" t="str">
        <f t="shared" si="1"/>
        <v>VEDL.NS</v>
      </c>
      <c r="I487" s="6" t="s">
        <v>546</v>
      </c>
    </row>
    <row r="488" ht="14.25" customHeight="1">
      <c r="A488" s="5" t="s">
        <v>547</v>
      </c>
      <c r="B488" s="3" t="s">
        <v>53</v>
      </c>
      <c r="C488" s="2" t="str">
        <f t="shared" si="1"/>
        <v>VIJAYA.NS</v>
      </c>
      <c r="I488" s="7" t="s">
        <v>548</v>
      </c>
    </row>
    <row r="489" ht="14.25" customHeight="1">
      <c r="A489" s="5" t="s">
        <v>549</v>
      </c>
      <c r="B489" s="3" t="s">
        <v>53</v>
      </c>
      <c r="C489" s="2" t="str">
        <f t="shared" si="1"/>
        <v>IDEA.NS</v>
      </c>
      <c r="I489" s="6" t="s">
        <v>550</v>
      </c>
    </row>
    <row r="490" ht="14.25" customHeight="1">
      <c r="A490" s="5" t="s">
        <v>551</v>
      </c>
      <c r="B490" s="3" t="s">
        <v>53</v>
      </c>
      <c r="C490" s="2" t="str">
        <f t="shared" si="1"/>
        <v>VOLTAS.NS</v>
      </c>
      <c r="I490" s="7" t="s">
        <v>552</v>
      </c>
    </row>
    <row r="491" ht="14.25" customHeight="1">
      <c r="A491" s="5" t="s">
        <v>553</v>
      </c>
      <c r="B491" s="3" t="s">
        <v>53</v>
      </c>
      <c r="C491" s="2" t="str">
        <f t="shared" si="1"/>
        <v>WELCORP.NS</v>
      </c>
      <c r="I491" s="6" t="s">
        <v>554</v>
      </c>
    </row>
    <row r="492" ht="14.25" customHeight="1">
      <c r="A492" s="5" t="s">
        <v>555</v>
      </c>
      <c r="B492" s="3" t="s">
        <v>53</v>
      </c>
      <c r="C492" s="2" t="str">
        <f t="shared" si="1"/>
        <v>WELSPUNLIV.NS</v>
      </c>
      <c r="I492" s="7" t="s">
        <v>556</v>
      </c>
    </row>
    <row r="493" ht="14.25" customHeight="1">
      <c r="A493" s="5" t="s">
        <v>557</v>
      </c>
      <c r="B493" s="3" t="s">
        <v>53</v>
      </c>
      <c r="C493" s="2" t="str">
        <f t="shared" si="1"/>
        <v>WESTLIFE.NS</v>
      </c>
      <c r="I493" s="6" t="s">
        <v>558</v>
      </c>
    </row>
    <row r="494" ht="14.25" customHeight="1">
      <c r="A494" s="5" t="s">
        <v>559</v>
      </c>
      <c r="B494" s="3" t="s">
        <v>53</v>
      </c>
      <c r="C494" s="2" t="str">
        <f t="shared" si="1"/>
        <v>WHIRLPOOL.NS</v>
      </c>
      <c r="I494" s="7" t="s">
        <v>560</v>
      </c>
    </row>
    <row r="495" ht="14.25" customHeight="1">
      <c r="A495" s="5" t="s">
        <v>561</v>
      </c>
      <c r="B495" s="3" t="s">
        <v>53</v>
      </c>
      <c r="C495" s="2" t="str">
        <f t="shared" si="1"/>
        <v>WIPRO.NS</v>
      </c>
      <c r="I495" s="6" t="s">
        <v>562</v>
      </c>
    </row>
    <row r="496" ht="14.25" customHeight="1">
      <c r="A496" s="5" t="s">
        <v>563</v>
      </c>
      <c r="B496" s="3" t="s">
        <v>53</v>
      </c>
      <c r="C496" s="2" t="str">
        <f t="shared" si="1"/>
        <v>YESBANK.NS</v>
      </c>
      <c r="I496" s="7" t="s">
        <v>564</v>
      </c>
    </row>
    <row r="497" ht="14.25" customHeight="1">
      <c r="A497" s="5" t="s">
        <v>565</v>
      </c>
      <c r="B497" s="3" t="s">
        <v>53</v>
      </c>
      <c r="C497" s="2" t="str">
        <f t="shared" si="1"/>
        <v>ZFCVINDIA.NS</v>
      </c>
      <c r="I497" s="6" t="s">
        <v>566</v>
      </c>
    </row>
    <row r="498" ht="14.25" customHeight="1">
      <c r="A498" s="5" t="s">
        <v>567</v>
      </c>
      <c r="B498" s="3" t="s">
        <v>53</v>
      </c>
      <c r="C498" s="2" t="str">
        <f t="shared" si="1"/>
        <v>ZEEL.NS</v>
      </c>
      <c r="I498" s="7" t="s">
        <v>568</v>
      </c>
    </row>
    <row r="499" ht="14.25" customHeight="1">
      <c r="A499" s="5" t="s">
        <v>569</v>
      </c>
      <c r="B499" s="3" t="s">
        <v>53</v>
      </c>
      <c r="C499" s="2" t="str">
        <f t="shared" si="1"/>
        <v>ZENSARTECH.NS</v>
      </c>
      <c r="I499" s="6" t="s">
        <v>570</v>
      </c>
    </row>
    <row r="500" ht="14.25" customHeight="1">
      <c r="A500" s="5" t="s">
        <v>571</v>
      </c>
      <c r="B500" s="3" t="s">
        <v>53</v>
      </c>
      <c r="C500" s="2" t="str">
        <f t="shared" si="1"/>
        <v>ZOMATO.NS</v>
      </c>
      <c r="I500" s="7" t="s">
        <v>572</v>
      </c>
    </row>
    <row r="501" ht="14.25" customHeight="1">
      <c r="A501" s="5" t="s">
        <v>573</v>
      </c>
      <c r="B501" s="3" t="s">
        <v>53</v>
      </c>
      <c r="C501" s="2" t="str">
        <f t="shared" si="1"/>
        <v>ZYDUSLIFE.NS</v>
      </c>
      <c r="I501" s="6" t="s">
        <v>574</v>
      </c>
    </row>
    <row r="502" ht="14.25" customHeight="1">
      <c r="A502" s="5" t="s">
        <v>575</v>
      </c>
      <c r="B502" s="3" t="s">
        <v>53</v>
      </c>
      <c r="C502" s="2" t="str">
        <f t="shared" si="1"/>
        <v>ECLERX.NS</v>
      </c>
      <c r="I502" s="7" t="s">
        <v>576</v>
      </c>
    </row>
    <row r="503" ht="14.25" customHeight="1">
      <c r="I503" s="6" t="s">
        <v>577</v>
      </c>
    </row>
    <row r="504" ht="14.25" customHeight="1">
      <c r="I504" s="7" t="s">
        <v>578</v>
      </c>
    </row>
    <row r="505" ht="14.25" customHeight="1">
      <c r="I505" s="6" t="s">
        <v>579</v>
      </c>
    </row>
    <row r="506" ht="14.25" customHeight="1">
      <c r="I506" s="7" t="s">
        <v>580</v>
      </c>
    </row>
    <row r="507" ht="14.25" customHeight="1">
      <c r="I507" s="6" t="s">
        <v>581</v>
      </c>
    </row>
    <row r="508" ht="14.25" customHeight="1">
      <c r="I508" s="7" t="s">
        <v>582</v>
      </c>
    </row>
    <row r="509" ht="14.25" customHeight="1">
      <c r="I509" s="6" t="s">
        <v>583</v>
      </c>
    </row>
    <row r="510" ht="14.25" customHeight="1">
      <c r="I510" s="7" t="s">
        <v>584</v>
      </c>
    </row>
    <row r="511" ht="14.25" customHeight="1">
      <c r="I511" s="6" t="s">
        <v>585</v>
      </c>
    </row>
    <row r="512" ht="14.25" customHeight="1">
      <c r="I512" s="7" t="s">
        <v>586</v>
      </c>
    </row>
    <row r="513" ht="14.25" customHeight="1">
      <c r="I513" s="6" t="s">
        <v>587</v>
      </c>
    </row>
    <row r="514" ht="14.25" customHeight="1">
      <c r="I514" s="7" t="s">
        <v>588</v>
      </c>
    </row>
    <row r="515" ht="14.25" customHeight="1">
      <c r="I515" s="6" t="s">
        <v>589</v>
      </c>
    </row>
    <row r="516" ht="14.25" customHeight="1">
      <c r="I516" s="7" t="s">
        <v>590</v>
      </c>
    </row>
    <row r="517" ht="14.25" customHeight="1">
      <c r="I517" s="6" t="s">
        <v>591</v>
      </c>
    </row>
    <row r="518" ht="14.25" customHeight="1">
      <c r="I518" s="7" t="s">
        <v>592</v>
      </c>
    </row>
    <row r="519" ht="14.25" customHeight="1">
      <c r="I519" s="6" t="s">
        <v>593</v>
      </c>
    </row>
    <row r="520" ht="14.25" customHeight="1">
      <c r="I520" s="7" t="s">
        <v>594</v>
      </c>
    </row>
    <row r="521" ht="14.25" customHeight="1">
      <c r="I521" s="6" t="s">
        <v>595</v>
      </c>
    </row>
    <row r="522" ht="14.25" customHeight="1">
      <c r="I522" s="7" t="s">
        <v>596</v>
      </c>
    </row>
    <row r="523" ht="14.25" customHeight="1">
      <c r="I523" s="6" t="s">
        <v>597</v>
      </c>
    </row>
    <row r="524" ht="14.25" customHeight="1">
      <c r="I524" s="7" t="s">
        <v>598</v>
      </c>
    </row>
    <row r="525" ht="14.25" customHeight="1">
      <c r="I525" s="6" t="s">
        <v>599</v>
      </c>
    </row>
    <row r="526" ht="14.25" customHeight="1">
      <c r="I526" s="7" t="s">
        <v>600</v>
      </c>
    </row>
    <row r="527" ht="14.25" customHeight="1">
      <c r="I527" s="6" t="s">
        <v>601</v>
      </c>
    </row>
    <row r="528" ht="14.25" customHeight="1">
      <c r="I528" s="7" t="s">
        <v>602</v>
      </c>
    </row>
    <row r="529" ht="14.25" customHeight="1">
      <c r="I529" s="6" t="s">
        <v>603</v>
      </c>
    </row>
    <row r="530" ht="14.25" customHeight="1">
      <c r="I530" s="7" t="s">
        <v>604</v>
      </c>
    </row>
    <row r="531" ht="14.25" customHeight="1">
      <c r="I531" s="6" t="s">
        <v>605</v>
      </c>
    </row>
    <row r="532" ht="14.25" customHeight="1">
      <c r="I532" s="7" t="s">
        <v>606</v>
      </c>
    </row>
    <row r="533" ht="14.25" customHeight="1">
      <c r="I533" s="6" t="s">
        <v>607</v>
      </c>
    </row>
    <row r="534" ht="14.25" customHeight="1">
      <c r="I534" s="7" t="s">
        <v>608</v>
      </c>
    </row>
    <row r="535" ht="14.25" customHeight="1">
      <c r="I535" s="6" t="s">
        <v>609</v>
      </c>
    </row>
    <row r="536" ht="14.25" customHeight="1">
      <c r="I536" s="7" t="s">
        <v>610</v>
      </c>
    </row>
    <row r="537" ht="14.25" customHeight="1">
      <c r="I537" s="6" t="s">
        <v>611</v>
      </c>
    </row>
    <row r="538" ht="14.25" customHeight="1">
      <c r="I538" s="7" t="s">
        <v>612</v>
      </c>
    </row>
    <row r="539" ht="14.25" customHeight="1">
      <c r="I539" s="6" t="s">
        <v>613</v>
      </c>
    </row>
    <row r="540" ht="14.25" customHeight="1">
      <c r="I540" s="7" t="s">
        <v>614</v>
      </c>
    </row>
    <row r="541" ht="14.25" customHeight="1">
      <c r="I541" s="6" t="s">
        <v>615</v>
      </c>
    </row>
    <row r="542" ht="14.25" customHeight="1">
      <c r="I542" s="7" t="s">
        <v>616</v>
      </c>
    </row>
    <row r="543" ht="14.25" customHeight="1">
      <c r="I543" s="6" t="s">
        <v>617</v>
      </c>
    </row>
    <row r="544" ht="14.25" customHeight="1">
      <c r="I544" s="7" t="s">
        <v>618</v>
      </c>
    </row>
    <row r="545" ht="14.25" customHeight="1">
      <c r="I545" s="6" t="s">
        <v>619</v>
      </c>
    </row>
    <row r="546" ht="14.25" customHeight="1">
      <c r="I546" s="7" t="s">
        <v>620</v>
      </c>
    </row>
    <row r="547" ht="14.25" customHeight="1">
      <c r="I547" s="6" t="s">
        <v>621</v>
      </c>
    </row>
    <row r="548" ht="14.25" customHeight="1">
      <c r="I548" s="7" t="s">
        <v>622</v>
      </c>
    </row>
    <row r="549" ht="14.25" customHeight="1">
      <c r="I549" s="6" t="s">
        <v>623</v>
      </c>
    </row>
    <row r="550" ht="14.25" customHeight="1">
      <c r="I550" s="7" t="s">
        <v>624</v>
      </c>
    </row>
    <row r="551" ht="14.25" customHeight="1">
      <c r="I551" s="6" t="s">
        <v>625</v>
      </c>
    </row>
    <row r="552" ht="14.25" customHeight="1">
      <c r="I552" s="7" t="s">
        <v>626</v>
      </c>
    </row>
    <row r="553" ht="14.25" customHeight="1">
      <c r="I553" s="6" t="s">
        <v>627</v>
      </c>
    </row>
    <row r="554" ht="14.25" customHeight="1">
      <c r="I554" s="7" t="s">
        <v>628</v>
      </c>
    </row>
    <row r="555" ht="14.25" customHeight="1">
      <c r="I555" s="6" t="s">
        <v>629</v>
      </c>
    </row>
    <row r="556" ht="14.25" customHeight="1">
      <c r="I556" s="7" t="s">
        <v>630</v>
      </c>
    </row>
    <row r="557" ht="14.25" customHeight="1">
      <c r="I557" s="6" t="s">
        <v>631</v>
      </c>
    </row>
    <row r="558" ht="14.25" customHeight="1">
      <c r="I558" s="7" t="s">
        <v>632</v>
      </c>
    </row>
    <row r="559" ht="14.25" customHeight="1">
      <c r="I559" s="6" t="s">
        <v>633</v>
      </c>
    </row>
    <row r="560" ht="14.25" customHeight="1">
      <c r="I560" s="7" t="s">
        <v>634</v>
      </c>
    </row>
    <row r="561" ht="14.25" customHeight="1">
      <c r="I561" s="6" t="s">
        <v>635</v>
      </c>
    </row>
    <row r="562" ht="14.25" customHeight="1">
      <c r="I562" s="7" t="s">
        <v>636</v>
      </c>
    </row>
    <row r="563" ht="14.25" customHeight="1">
      <c r="I563" s="6" t="s">
        <v>637</v>
      </c>
    </row>
    <row r="564" ht="14.25" customHeight="1">
      <c r="I564" s="7" t="s">
        <v>638</v>
      </c>
    </row>
    <row r="565" ht="14.25" customHeight="1">
      <c r="I565" s="6" t="s">
        <v>639</v>
      </c>
    </row>
    <row r="566" ht="14.25" customHeight="1">
      <c r="I566" s="7" t="s">
        <v>640</v>
      </c>
    </row>
    <row r="567" ht="14.25" customHeight="1">
      <c r="I567" s="6" t="s">
        <v>641</v>
      </c>
    </row>
    <row r="568" ht="14.25" customHeight="1">
      <c r="I568" s="7" t="s">
        <v>642</v>
      </c>
    </row>
    <row r="569" ht="14.25" customHeight="1">
      <c r="I569" s="6" t="s">
        <v>643</v>
      </c>
    </row>
    <row r="570" ht="14.25" customHeight="1">
      <c r="I570" s="7" t="s">
        <v>644</v>
      </c>
    </row>
    <row r="571" ht="14.25" customHeight="1">
      <c r="I571" s="6" t="s">
        <v>645</v>
      </c>
    </row>
    <row r="572" ht="14.25" customHeight="1">
      <c r="I572" s="7" t="s">
        <v>646</v>
      </c>
    </row>
    <row r="573" ht="14.25" customHeight="1">
      <c r="I573" s="6" t="s">
        <v>647</v>
      </c>
    </row>
    <row r="574" ht="14.25" customHeight="1">
      <c r="I574" s="7" t="s">
        <v>648</v>
      </c>
    </row>
    <row r="575" ht="14.25" customHeight="1">
      <c r="I575" s="6" t="s">
        <v>649</v>
      </c>
    </row>
    <row r="576" ht="14.25" customHeight="1">
      <c r="I576" s="7" t="s">
        <v>650</v>
      </c>
    </row>
    <row r="577" ht="14.25" customHeight="1">
      <c r="I577" s="6" t="s">
        <v>651</v>
      </c>
    </row>
    <row r="578" ht="14.25" customHeight="1">
      <c r="I578" s="7" t="s">
        <v>652</v>
      </c>
    </row>
    <row r="579" ht="14.25" customHeight="1">
      <c r="I579" s="6" t="s">
        <v>653</v>
      </c>
    </row>
    <row r="580" ht="14.25" customHeight="1">
      <c r="I580" s="7" t="s">
        <v>654</v>
      </c>
    </row>
    <row r="581" ht="14.25" customHeight="1">
      <c r="I581" s="6" t="s">
        <v>655</v>
      </c>
    </row>
    <row r="582" ht="14.25" customHeight="1">
      <c r="I582" s="7" t="s">
        <v>656</v>
      </c>
    </row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481"/>
    <hyperlink r:id="rId2" ref="I482"/>
    <hyperlink r:id="rId3" ref="I483"/>
    <hyperlink r:id="rId4" ref="I484"/>
    <hyperlink r:id="rId5" ref="I485"/>
    <hyperlink r:id="rId6" ref="I486"/>
    <hyperlink r:id="rId7" ref="I487"/>
    <hyperlink r:id="rId8" ref="I488"/>
    <hyperlink r:id="rId9" ref="I489"/>
    <hyperlink r:id="rId10" ref="I490"/>
    <hyperlink r:id="rId11" ref="I491"/>
    <hyperlink r:id="rId12" ref="I492"/>
    <hyperlink r:id="rId13" ref="I493"/>
    <hyperlink r:id="rId14" ref="I494"/>
    <hyperlink r:id="rId15" ref="I495"/>
    <hyperlink r:id="rId16" ref="I496"/>
    <hyperlink r:id="rId17" ref="I497"/>
    <hyperlink r:id="rId18" ref="I498"/>
    <hyperlink r:id="rId19" ref="I499"/>
    <hyperlink r:id="rId20" ref="I500"/>
    <hyperlink r:id="rId21" ref="I501"/>
    <hyperlink r:id="rId22" ref="I502"/>
    <hyperlink r:id="rId23" ref="I503"/>
    <hyperlink r:id="rId24" ref="I504"/>
    <hyperlink r:id="rId25" ref="I505"/>
    <hyperlink r:id="rId26" ref="I506"/>
    <hyperlink r:id="rId27" ref="I507"/>
    <hyperlink r:id="rId28" ref="I508"/>
    <hyperlink r:id="rId29" ref="I509"/>
    <hyperlink r:id="rId30" ref="I510"/>
    <hyperlink r:id="rId31" ref="I511"/>
    <hyperlink r:id="rId32" ref="I512"/>
    <hyperlink r:id="rId33" ref="I513"/>
    <hyperlink r:id="rId34" ref="I514"/>
    <hyperlink r:id="rId35" ref="I515"/>
    <hyperlink r:id="rId36" ref="I516"/>
    <hyperlink r:id="rId37" ref="I517"/>
    <hyperlink r:id="rId38" ref="I518"/>
    <hyperlink r:id="rId39" ref="I519"/>
    <hyperlink r:id="rId40" ref="I520"/>
    <hyperlink r:id="rId41" ref="I521"/>
    <hyperlink r:id="rId42" ref="I522"/>
    <hyperlink r:id="rId43" ref="I523"/>
    <hyperlink r:id="rId44" ref="I524"/>
    <hyperlink r:id="rId45" ref="I525"/>
    <hyperlink r:id="rId46" ref="I526"/>
    <hyperlink r:id="rId47" ref="I527"/>
    <hyperlink r:id="rId48" ref="I528"/>
    <hyperlink r:id="rId49" ref="I529"/>
    <hyperlink r:id="rId50" ref="I530"/>
    <hyperlink r:id="rId51" ref="I531"/>
    <hyperlink r:id="rId52" ref="I532"/>
    <hyperlink r:id="rId53" ref="I533"/>
    <hyperlink r:id="rId54" ref="I534"/>
    <hyperlink r:id="rId55" ref="I535"/>
    <hyperlink r:id="rId56" ref="I536"/>
    <hyperlink r:id="rId57" ref="I537"/>
    <hyperlink r:id="rId58" ref="I538"/>
    <hyperlink r:id="rId59" ref="I539"/>
    <hyperlink r:id="rId60" ref="I540"/>
    <hyperlink r:id="rId61" ref="I541"/>
    <hyperlink r:id="rId62" ref="I542"/>
    <hyperlink r:id="rId63" ref="I543"/>
    <hyperlink r:id="rId64" ref="I544"/>
    <hyperlink r:id="rId65" ref="I545"/>
    <hyperlink r:id="rId66" ref="I546"/>
    <hyperlink r:id="rId67" ref="I547"/>
    <hyperlink r:id="rId68" ref="I548"/>
    <hyperlink r:id="rId69" ref="I549"/>
    <hyperlink r:id="rId70" ref="I550"/>
    <hyperlink r:id="rId71" ref="I551"/>
    <hyperlink r:id="rId72" ref="I552"/>
    <hyperlink r:id="rId73" ref="I553"/>
    <hyperlink r:id="rId74" ref="I554"/>
    <hyperlink r:id="rId75" ref="I555"/>
    <hyperlink r:id="rId76" ref="I556"/>
    <hyperlink r:id="rId77" ref="I557"/>
    <hyperlink r:id="rId78" ref="I558"/>
    <hyperlink r:id="rId79" ref="I559"/>
    <hyperlink r:id="rId80" ref="I560"/>
    <hyperlink r:id="rId81" ref="I561"/>
    <hyperlink r:id="rId82" ref="I562"/>
    <hyperlink r:id="rId83" ref="I563"/>
    <hyperlink r:id="rId84" ref="I564"/>
    <hyperlink r:id="rId85" ref="I565"/>
    <hyperlink r:id="rId86" ref="I566"/>
    <hyperlink r:id="rId87" ref="I567"/>
    <hyperlink r:id="rId88" ref="I568"/>
    <hyperlink r:id="rId89" ref="I569"/>
    <hyperlink r:id="rId90" ref="I570"/>
    <hyperlink r:id="rId91" ref="I571"/>
    <hyperlink r:id="rId92" ref="I572"/>
    <hyperlink r:id="rId93" ref="I573"/>
    <hyperlink r:id="rId94" ref="I574"/>
    <hyperlink r:id="rId95" ref="I575"/>
    <hyperlink r:id="rId96" ref="I576"/>
    <hyperlink r:id="rId97" ref="I577"/>
    <hyperlink r:id="rId98" ref="I578"/>
    <hyperlink r:id="rId99" ref="I579"/>
    <hyperlink r:id="rId100" ref="I580"/>
    <hyperlink r:id="rId101" ref="I581"/>
    <hyperlink r:id="rId102" ref="I582"/>
  </hyperlinks>
  <printOptions/>
  <pageMargins bottom="0.75" footer="0.0" header="0.0" left="0.7" right="0.7" top="0.75"/>
  <pageSetup orientation="landscape"/>
  <drawing r:id="rId1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8" t="s">
        <v>657</v>
      </c>
      <c r="B1" s="8" t="s">
        <v>658</v>
      </c>
      <c r="C1" s="9" t="s">
        <v>659</v>
      </c>
      <c r="D1" s="9" t="s">
        <v>660</v>
      </c>
      <c r="E1" s="9" t="s">
        <v>661</v>
      </c>
    </row>
    <row r="2" ht="14.25" customHeight="1">
      <c r="A2" s="6" t="s">
        <v>534</v>
      </c>
      <c r="B2" s="10" t="s">
        <v>662</v>
      </c>
      <c r="C2" s="11">
        <v>187.28</v>
      </c>
      <c r="D2" s="12">
        <f>+2.58</f>
        <v>2.58</v>
      </c>
      <c r="E2" s="12">
        <f>+1.4</f>
        <v>1.4</v>
      </c>
      <c r="H2" s="4" t="s">
        <v>534</v>
      </c>
    </row>
    <row r="3" ht="14.25" customHeight="1">
      <c r="A3" s="7" t="s">
        <v>536</v>
      </c>
      <c r="B3" s="13" t="s">
        <v>663</v>
      </c>
      <c r="C3" s="14">
        <v>432.66</v>
      </c>
      <c r="D3" s="15">
        <v>-3.08</v>
      </c>
      <c r="E3" s="15">
        <v>-0.71</v>
      </c>
      <c r="H3" s="4" t="s">
        <v>536</v>
      </c>
    </row>
    <row r="4" ht="14.25" customHeight="1">
      <c r="A4" s="6" t="s">
        <v>538</v>
      </c>
      <c r="B4" s="10" t="s">
        <v>664</v>
      </c>
      <c r="C4" s="11">
        <v>76.61</v>
      </c>
      <c r="D4" s="16">
        <v>-0.52</v>
      </c>
      <c r="E4" s="16">
        <v>-0.67</v>
      </c>
      <c r="H4" s="4" t="s">
        <v>538</v>
      </c>
    </row>
    <row r="5" ht="14.25" customHeight="1">
      <c r="A5" s="7" t="s">
        <v>540</v>
      </c>
      <c r="B5" s="13" t="s">
        <v>665</v>
      </c>
      <c r="C5" s="14">
        <v>34.07</v>
      </c>
      <c r="D5" s="15">
        <v>-0.1</v>
      </c>
      <c r="E5" s="15">
        <v>-0.29</v>
      </c>
      <c r="H5" s="4" t="s">
        <v>540</v>
      </c>
    </row>
    <row r="6" ht="14.25" customHeight="1">
      <c r="A6" s="6" t="s">
        <v>542</v>
      </c>
      <c r="B6" s="10" t="s">
        <v>666</v>
      </c>
      <c r="C6" s="17">
        <v>1738.33</v>
      </c>
      <c r="D6" s="16">
        <v>-7.53</v>
      </c>
      <c r="E6" s="16">
        <v>-0.43</v>
      </c>
      <c r="H6" s="4" t="s">
        <v>542</v>
      </c>
    </row>
    <row r="7" ht="14.25" customHeight="1">
      <c r="A7" s="7" t="s">
        <v>544</v>
      </c>
      <c r="B7" s="13" t="s">
        <v>667</v>
      </c>
      <c r="C7" s="14">
        <v>226.55</v>
      </c>
      <c r="D7" s="15">
        <v>-1.52</v>
      </c>
      <c r="E7" s="15">
        <v>-0.67</v>
      </c>
      <c r="H7" s="4" t="s">
        <v>544</v>
      </c>
    </row>
    <row r="8" ht="14.25" customHeight="1">
      <c r="A8" s="6" t="s">
        <v>546</v>
      </c>
      <c r="B8" s="10" t="s">
        <v>668</v>
      </c>
      <c r="C8" s="17">
        <v>4005.05</v>
      </c>
      <c r="D8" s="12">
        <f>+20.42</f>
        <v>20.42</v>
      </c>
      <c r="E8" s="12">
        <f>+0.51</f>
        <v>0.51</v>
      </c>
      <c r="H8" s="4" t="s">
        <v>546</v>
      </c>
    </row>
    <row r="9" ht="14.25" customHeight="1">
      <c r="A9" s="7" t="s">
        <v>548</v>
      </c>
      <c r="B9" s="13" t="s">
        <v>669</v>
      </c>
      <c r="C9" s="14">
        <v>314.78</v>
      </c>
      <c r="D9" s="15">
        <v>-2.58</v>
      </c>
      <c r="E9" s="15">
        <v>-0.81</v>
      </c>
      <c r="H9" s="4" t="s">
        <v>548</v>
      </c>
    </row>
    <row r="10" ht="14.25" customHeight="1">
      <c r="A10" s="6" t="s">
        <v>550</v>
      </c>
      <c r="B10" s="10" t="s">
        <v>670</v>
      </c>
      <c r="C10" s="11">
        <v>564.77</v>
      </c>
      <c r="D10" s="16">
        <v>-10.62</v>
      </c>
      <c r="E10" s="16">
        <v>-1.85</v>
      </c>
      <c r="H10" s="4" t="s">
        <v>550</v>
      </c>
    </row>
    <row r="11" ht="14.25" customHeight="1">
      <c r="A11" s="7" t="s">
        <v>552</v>
      </c>
      <c r="B11" s="13" t="s">
        <v>671</v>
      </c>
      <c r="C11" s="14">
        <v>290.58</v>
      </c>
      <c r="D11" s="18">
        <f>+0.02</f>
        <v>0.02</v>
      </c>
      <c r="E11" s="18">
        <f>+0.01</f>
        <v>0.01</v>
      </c>
      <c r="H11" s="4" t="s">
        <v>552</v>
      </c>
    </row>
    <row r="12" ht="14.25" customHeight="1">
      <c r="A12" s="6" t="s">
        <v>554</v>
      </c>
      <c r="B12" s="10" t="s">
        <v>672</v>
      </c>
      <c r="C12" s="11">
        <v>54.59</v>
      </c>
      <c r="D12" s="16">
        <v>-0.2</v>
      </c>
      <c r="E12" s="16">
        <v>-0.37</v>
      </c>
      <c r="H12" s="4" t="s">
        <v>554</v>
      </c>
    </row>
    <row r="13" ht="14.25" customHeight="1">
      <c r="A13" s="7" t="s">
        <v>556</v>
      </c>
      <c r="B13" s="13" t="s">
        <v>673</v>
      </c>
      <c r="C13" s="14">
        <v>71.82</v>
      </c>
      <c r="D13" s="15">
        <v>-0.81</v>
      </c>
      <c r="E13" s="15">
        <v>-1.12</v>
      </c>
      <c r="H13" s="4" t="s">
        <v>556</v>
      </c>
    </row>
    <row r="14" ht="14.25" customHeight="1">
      <c r="A14" s="6" t="s">
        <v>558</v>
      </c>
      <c r="B14" s="10" t="s">
        <v>674</v>
      </c>
      <c r="C14" s="11">
        <v>385.5</v>
      </c>
      <c r="D14" s="16">
        <v>-5.21</v>
      </c>
      <c r="E14" s="16">
        <v>-1.33</v>
      </c>
      <c r="H14" s="4" t="s">
        <v>558</v>
      </c>
    </row>
    <row r="15" ht="14.25" customHeight="1">
      <c r="A15" s="7" t="s">
        <v>560</v>
      </c>
      <c r="B15" s="13" t="s">
        <v>675</v>
      </c>
      <c r="C15" s="14">
        <v>714.05</v>
      </c>
      <c r="D15" s="18">
        <f>+3.01</f>
        <v>3.01</v>
      </c>
      <c r="E15" s="18">
        <f>+0.42</f>
        <v>0.42</v>
      </c>
      <c r="H15" s="4" t="s">
        <v>560</v>
      </c>
    </row>
    <row r="16" ht="14.25" customHeight="1">
      <c r="A16" s="6" t="s">
        <v>562</v>
      </c>
      <c r="B16" s="10" t="s">
        <v>676</v>
      </c>
      <c r="C16" s="11">
        <v>45.91</v>
      </c>
      <c r="D16" s="16">
        <v>-0.15</v>
      </c>
      <c r="E16" s="16">
        <v>-0.31</v>
      </c>
      <c r="H16" s="4" t="s">
        <v>562</v>
      </c>
    </row>
    <row r="17" ht="14.25" customHeight="1">
      <c r="A17" s="7" t="s">
        <v>564</v>
      </c>
      <c r="B17" s="13" t="s">
        <v>677</v>
      </c>
      <c r="C17" s="14">
        <v>37.5</v>
      </c>
      <c r="D17" s="18">
        <f>+0.17</f>
        <v>0.17</v>
      </c>
      <c r="E17" s="18">
        <f>+0.46</f>
        <v>0.46</v>
      </c>
      <c r="H17" s="4" t="s">
        <v>564</v>
      </c>
    </row>
    <row r="18" ht="14.25" customHeight="1">
      <c r="A18" s="6" t="s">
        <v>566</v>
      </c>
      <c r="B18" s="10" t="s">
        <v>678</v>
      </c>
      <c r="C18" s="11">
        <v>895.32</v>
      </c>
      <c r="D18" s="12">
        <f>+14.48</f>
        <v>14.48</v>
      </c>
      <c r="E18" s="12">
        <f>+1.64</f>
        <v>1.64</v>
      </c>
      <c r="H18" s="4" t="s">
        <v>566</v>
      </c>
    </row>
    <row r="19" ht="14.25" customHeight="1">
      <c r="A19" s="7" t="s">
        <v>568</v>
      </c>
      <c r="B19" s="13" t="s">
        <v>679</v>
      </c>
      <c r="C19" s="14">
        <v>32.44</v>
      </c>
      <c r="D19" s="15">
        <v>-0.95</v>
      </c>
      <c r="E19" s="15">
        <v>-2.85</v>
      </c>
      <c r="H19" s="4" t="s">
        <v>568</v>
      </c>
    </row>
    <row r="20" ht="14.25" customHeight="1">
      <c r="A20" s="6" t="s">
        <v>570</v>
      </c>
      <c r="B20" s="10" t="s">
        <v>680</v>
      </c>
      <c r="C20" s="11">
        <v>67.26</v>
      </c>
      <c r="D20" s="16">
        <v>-0.29</v>
      </c>
      <c r="E20" s="16">
        <v>-0.43</v>
      </c>
      <c r="H20" s="4" t="s">
        <v>570</v>
      </c>
    </row>
    <row r="21" ht="14.25" customHeight="1">
      <c r="A21" s="7" t="s">
        <v>572</v>
      </c>
      <c r="B21" s="13" t="s">
        <v>681</v>
      </c>
      <c r="C21" s="14">
        <v>127.16</v>
      </c>
      <c r="D21" s="15">
        <v>-5.24</v>
      </c>
      <c r="E21" s="15">
        <v>-3.96</v>
      </c>
      <c r="H21" s="4" t="s">
        <v>572</v>
      </c>
    </row>
    <row r="22" ht="14.25" customHeight="1">
      <c r="A22" s="6" t="s">
        <v>574</v>
      </c>
      <c r="B22" s="10" t="s">
        <v>682</v>
      </c>
      <c r="C22" s="11">
        <v>111.03</v>
      </c>
      <c r="D22" s="12">
        <f>+0.06</f>
        <v>0.06</v>
      </c>
      <c r="E22" s="12">
        <f>+0.05</f>
        <v>0.05</v>
      </c>
      <c r="H22" s="4" t="s">
        <v>574</v>
      </c>
    </row>
    <row r="23" ht="14.25" customHeight="1">
      <c r="A23" s="7" t="s">
        <v>576</v>
      </c>
      <c r="B23" s="13" t="s">
        <v>683</v>
      </c>
      <c r="C23" s="14">
        <v>202.97</v>
      </c>
      <c r="D23" s="15">
        <v>-0.38</v>
      </c>
      <c r="E23" s="15">
        <v>-0.18</v>
      </c>
      <c r="H23" s="4" t="s">
        <v>576</v>
      </c>
    </row>
    <row r="24" ht="14.25" customHeight="1">
      <c r="A24" s="6" t="s">
        <v>577</v>
      </c>
      <c r="B24" s="10" t="s">
        <v>684</v>
      </c>
      <c r="C24" s="11">
        <v>104.5</v>
      </c>
      <c r="D24" s="16">
        <v>-2.22</v>
      </c>
      <c r="E24" s="16">
        <v>-2.08</v>
      </c>
      <c r="H24" s="4" t="s">
        <v>577</v>
      </c>
    </row>
    <row r="25" ht="14.25" customHeight="1">
      <c r="A25" s="7" t="s">
        <v>578</v>
      </c>
      <c r="B25" s="13" t="s">
        <v>685</v>
      </c>
      <c r="C25" s="14">
        <v>140.08</v>
      </c>
      <c r="D25" s="18">
        <f>+0.43</f>
        <v>0.43</v>
      </c>
      <c r="E25" s="18">
        <f>+0.31</f>
        <v>0.31</v>
      </c>
      <c r="H25" s="4" t="s">
        <v>578</v>
      </c>
    </row>
    <row r="26" ht="14.25" customHeight="1">
      <c r="A26" s="6" t="s">
        <v>579</v>
      </c>
      <c r="B26" s="10" t="s">
        <v>686</v>
      </c>
      <c r="C26" s="11">
        <v>73.55</v>
      </c>
      <c r="D26" s="16">
        <v>-1.46</v>
      </c>
      <c r="E26" s="16">
        <v>-1.95</v>
      </c>
      <c r="H26" s="4" t="s">
        <v>579</v>
      </c>
    </row>
    <row r="27" ht="14.25" customHeight="1">
      <c r="A27" s="7" t="s">
        <v>580</v>
      </c>
      <c r="B27" s="13" t="s">
        <v>687</v>
      </c>
      <c r="C27" s="14">
        <v>34.35</v>
      </c>
      <c r="D27" s="18">
        <f>+0.11</f>
        <v>0.11</v>
      </c>
      <c r="E27" s="18">
        <f>+0.32</f>
        <v>0.32</v>
      </c>
      <c r="H27" s="4" t="s">
        <v>580</v>
      </c>
    </row>
    <row r="28" ht="14.25" customHeight="1">
      <c r="A28" s="6" t="s">
        <v>581</v>
      </c>
      <c r="B28" s="10" t="s">
        <v>688</v>
      </c>
      <c r="C28" s="11">
        <v>99.6</v>
      </c>
      <c r="D28" s="12">
        <f t="shared" ref="D28:E28" si="1">+0.52</f>
        <v>0.52</v>
      </c>
      <c r="E28" s="12">
        <f t="shared" si="1"/>
        <v>0.52</v>
      </c>
      <c r="H28" s="4" t="s">
        <v>581</v>
      </c>
    </row>
    <row r="29" ht="14.25" customHeight="1">
      <c r="A29" s="7" t="s">
        <v>582</v>
      </c>
      <c r="B29" s="13" t="s">
        <v>689</v>
      </c>
      <c r="C29" s="14">
        <v>62.3</v>
      </c>
      <c r="D29" s="15">
        <v>-0.53</v>
      </c>
      <c r="E29" s="15">
        <v>-0.84</v>
      </c>
      <c r="H29" s="4" t="s">
        <v>582</v>
      </c>
    </row>
    <row r="30" ht="14.25" customHeight="1">
      <c r="A30" s="6" t="s">
        <v>583</v>
      </c>
      <c r="B30" s="10" t="s">
        <v>690</v>
      </c>
      <c r="C30" s="11">
        <v>53.13</v>
      </c>
      <c r="D30" s="16">
        <v>-0.36</v>
      </c>
      <c r="E30" s="16">
        <v>-0.67</v>
      </c>
      <c r="H30" s="4" t="s">
        <v>583</v>
      </c>
    </row>
    <row r="31" ht="14.25" customHeight="1">
      <c r="A31" s="7" t="s">
        <v>584</v>
      </c>
      <c r="B31" s="13" t="s">
        <v>691</v>
      </c>
      <c r="C31" s="14">
        <v>532.59</v>
      </c>
      <c r="D31" s="18">
        <f>+3.27</f>
        <v>3.27</v>
      </c>
      <c r="E31" s="18">
        <f>+0.62</f>
        <v>0.62</v>
      </c>
      <c r="H31" s="4" t="s">
        <v>584</v>
      </c>
    </row>
    <row r="32" ht="14.25" customHeight="1">
      <c r="A32" s="6" t="s">
        <v>585</v>
      </c>
      <c r="B32" s="10" t="s">
        <v>692</v>
      </c>
      <c r="C32" s="11">
        <v>150.77</v>
      </c>
      <c r="D32" s="16">
        <v>-0.21</v>
      </c>
      <c r="E32" s="16">
        <v>-0.14</v>
      </c>
      <c r="H32" s="4" t="s">
        <v>585</v>
      </c>
    </row>
    <row r="33" ht="14.25" customHeight="1">
      <c r="A33" s="7" t="s">
        <v>586</v>
      </c>
      <c r="B33" s="13" t="s">
        <v>693</v>
      </c>
      <c r="C33" s="14">
        <v>59.87</v>
      </c>
      <c r="D33" s="15">
        <v>-0.24</v>
      </c>
      <c r="E33" s="15">
        <v>-0.4</v>
      </c>
      <c r="H33" s="4" t="s">
        <v>586</v>
      </c>
    </row>
    <row r="34" ht="14.25" customHeight="1">
      <c r="A34" s="6" t="s">
        <v>587</v>
      </c>
      <c r="B34" s="10" t="s">
        <v>694</v>
      </c>
      <c r="C34" s="11">
        <v>67.25</v>
      </c>
      <c r="D34" s="16">
        <v>-0.3</v>
      </c>
      <c r="E34" s="16">
        <v>-0.44</v>
      </c>
      <c r="H34" s="4" t="s">
        <v>587</v>
      </c>
    </row>
    <row r="35" ht="14.25" customHeight="1">
      <c r="A35" s="7" t="s">
        <v>588</v>
      </c>
      <c r="B35" s="13" t="s">
        <v>695</v>
      </c>
      <c r="C35" s="14">
        <v>191.94</v>
      </c>
      <c r="D35" s="18">
        <f>+1.46</f>
        <v>1.46</v>
      </c>
      <c r="E35" s="18">
        <f>+0.77</f>
        <v>0.77</v>
      </c>
      <c r="H35" s="4" t="s">
        <v>588</v>
      </c>
    </row>
    <row r="36" ht="14.25" customHeight="1">
      <c r="A36" s="6" t="s">
        <v>589</v>
      </c>
      <c r="B36" s="10" t="s">
        <v>696</v>
      </c>
      <c r="C36" s="11">
        <v>190.4</v>
      </c>
      <c r="D36" s="12">
        <f>+1.37</f>
        <v>1.37</v>
      </c>
      <c r="E36" s="12">
        <f>+0.72</f>
        <v>0.72</v>
      </c>
      <c r="H36" s="4" t="s">
        <v>589</v>
      </c>
    </row>
    <row r="37" ht="14.25" customHeight="1">
      <c r="A37" s="7" t="s">
        <v>590</v>
      </c>
      <c r="B37" s="13" t="s">
        <v>697</v>
      </c>
      <c r="C37" s="14">
        <v>211.45</v>
      </c>
      <c r="D37" s="15">
        <v>-0.18</v>
      </c>
      <c r="E37" s="15">
        <v>-0.09</v>
      </c>
      <c r="H37" s="4" t="s">
        <v>590</v>
      </c>
    </row>
    <row r="38" ht="14.25" customHeight="1">
      <c r="A38" s="6" t="s">
        <v>591</v>
      </c>
      <c r="B38" s="10" t="s">
        <v>698</v>
      </c>
      <c r="C38" s="11">
        <v>106.74</v>
      </c>
      <c r="D38" s="16">
        <v>-1.1</v>
      </c>
      <c r="E38" s="16">
        <v>-1.02</v>
      </c>
      <c r="H38" s="4" t="s">
        <v>591</v>
      </c>
    </row>
    <row r="39" ht="14.25" customHeight="1">
      <c r="A39" s="7" t="s">
        <v>592</v>
      </c>
      <c r="B39" s="13" t="s">
        <v>699</v>
      </c>
      <c r="C39" s="14">
        <v>34.09</v>
      </c>
      <c r="D39" s="18">
        <f>+0.1</f>
        <v>0.1</v>
      </c>
      <c r="E39" s="18">
        <f>+0.29</f>
        <v>0.29</v>
      </c>
      <c r="H39" s="4" t="s">
        <v>592</v>
      </c>
    </row>
    <row r="40" ht="14.25" customHeight="1">
      <c r="A40" s="6" t="s">
        <v>593</v>
      </c>
      <c r="B40" s="10" t="s">
        <v>700</v>
      </c>
      <c r="C40" s="11">
        <v>649.84</v>
      </c>
      <c r="D40" s="16">
        <v>-9.74</v>
      </c>
      <c r="E40" s="16">
        <v>-1.48</v>
      </c>
      <c r="H40" s="4" t="s">
        <v>593</v>
      </c>
    </row>
    <row r="41" ht="14.25" customHeight="1">
      <c r="A41" s="7" t="s">
        <v>594</v>
      </c>
      <c r="B41" s="13" t="s">
        <v>701</v>
      </c>
      <c r="C41" s="14">
        <v>443.62</v>
      </c>
      <c r="D41" s="15">
        <v>-0.91</v>
      </c>
      <c r="E41" s="15">
        <v>-0.2</v>
      </c>
      <c r="H41" s="4" t="s">
        <v>594</v>
      </c>
    </row>
    <row r="42" ht="14.25" customHeight="1">
      <c r="A42" s="6" t="s">
        <v>595</v>
      </c>
      <c r="B42" s="10" t="s">
        <v>702</v>
      </c>
      <c r="C42" s="11">
        <v>74.45</v>
      </c>
      <c r="D42" s="16">
        <v>-0.46</v>
      </c>
      <c r="E42" s="16">
        <v>-0.61</v>
      </c>
      <c r="H42" s="4" t="s">
        <v>595</v>
      </c>
    </row>
    <row r="43" ht="14.25" customHeight="1">
      <c r="A43" s="7" t="s">
        <v>596</v>
      </c>
      <c r="B43" s="13" t="s">
        <v>703</v>
      </c>
      <c r="C43" s="14">
        <v>479.94</v>
      </c>
      <c r="D43" s="15">
        <v>-3.79</v>
      </c>
      <c r="E43" s="15">
        <v>-0.78</v>
      </c>
      <c r="H43" s="4" t="s">
        <v>596</v>
      </c>
    </row>
    <row r="44" ht="14.25" customHeight="1">
      <c r="A44" s="6" t="s">
        <v>597</v>
      </c>
      <c r="B44" s="10" t="s">
        <v>704</v>
      </c>
      <c r="C44" s="11">
        <v>32.3</v>
      </c>
      <c r="D44" s="12">
        <f>+0.01</f>
        <v>0.01</v>
      </c>
      <c r="E44" s="12">
        <f>+0.02</f>
        <v>0.02</v>
      </c>
      <c r="H44" s="4" t="s">
        <v>597</v>
      </c>
    </row>
    <row r="45" ht="14.25" customHeight="1">
      <c r="A45" s="7" t="s">
        <v>598</v>
      </c>
      <c r="B45" s="13" t="s">
        <v>705</v>
      </c>
      <c r="C45" s="14">
        <v>870.91</v>
      </c>
      <c r="D45" s="18">
        <f>+4.36</f>
        <v>4.36</v>
      </c>
      <c r="E45" s="18">
        <f>+0.5</f>
        <v>0.5</v>
      </c>
      <c r="H45" s="4" t="s">
        <v>598</v>
      </c>
    </row>
    <row r="46" ht="14.25" customHeight="1">
      <c r="A46" s="6" t="s">
        <v>599</v>
      </c>
      <c r="B46" s="10" t="s">
        <v>706</v>
      </c>
      <c r="C46" s="11">
        <v>31.97</v>
      </c>
      <c r="D46" s="16">
        <v>-0.13</v>
      </c>
      <c r="E46" s="16">
        <v>-0.4</v>
      </c>
      <c r="H46" s="4" t="s">
        <v>599</v>
      </c>
    </row>
    <row r="47" ht="14.25" customHeight="1">
      <c r="A47" s="7" t="s">
        <v>600</v>
      </c>
      <c r="B47" s="13" t="s">
        <v>707</v>
      </c>
      <c r="C47" s="19">
        <v>1105.12</v>
      </c>
      <c r="D47" s="18">
        <f>+3.51</f>
        <v>3.51</v>
      </c>
      <c r="E47" s="18">
        <f>+0.32</f>
        <v>0.32</v>
      </c>
      <c r="H47" s="4" t="s">
        <v>600</v>
      </c>
    </row>
    <row r="48" ht="14.25" customHeight="1">
      <c r="A48" s="6" t="s">
        <v>601</v>
      </c>
      <c r="B48" s="10" t="s">
        <v>708</v>
      </c>
      <c r="C48" s="11">
        <v>289.88</v>
      </c>
      <c r="D48" s="16">
        <v>-4.15</v>
      </c>
      <c r="E48" s="16">
        <v>-1.41</v>
      </c>
      <c r="H48" s="4" t="s">
        <v>601</v>
      </c>
    </row>
    <row r="49" ht="14.25" customHeight="1">
      <c r="A49" s="7" t="s">
        <v>602</v>
      </c>
      <c r="B49" s="13" t="s">
        <v>709</v>
      </c>
      <c r="C49" s="19">
        <v>1700.43</v>
      </c>
      <c r="D49" s="18">
        <f>+16.68</f>
        <v>16.68</v>
      </c>
      <c r="E49" s="18">
        <f>+0.99</f>
        <v>0.99</v>
      </c>
      <c r="H49" s="4" t="s">
        <v>602</v>
      </c>
    </row>
    <row r="50" ht="14.25" customHeight="1">
      <c r="A50" s="6" t="s">
        <v>603</v>
      </c>
      <c r="B50" s="10" t="s">
        <v>710</v>
      </c>
      <c r="C50" s="11">
        <v>238.43</v>
      </c>
      <c r="D50" s="16">
        <v>-1.43</v>
      </c>
      <c r="E50" s="16">
        <v>-0.6</v>
      </c>
      <c r="H50" s="4" t="s">
        <v>603</v>
      </c>
    </row>
    <row r="51" ht="14.25" customHeight="1">
      <c r="A51" s="7" t="s">
        <v>604</v>
      </c>
      <c r="B51" s="13" t="s">
        <v>711</v>
      </c>
      <c r="C51" s="14">
        <v>92.58</v>
      </c>
      <c r="D51" s="15">
        <v>-0.68</v>
      </c>
      <c r="E51" s="15">
        <v>-0.73</v>
      </c>
      <c r="H51" s="4" t="s">
        <v>604</v>
      </c>
    </row>
    <row r="52" ht="14.25" customHeight="1">
      <c r="A52" s="6" t="s">
        <v>605</v>
      </c>
      <c r="B52" s="10" t="s">
        <v>712</v>
      </c>
      <c r="C52" s="11">
        <v>65.76</v>
      </c>
      <c r="D52" s="16">
        <v>-0.4</v>
      </c>
      <c r="E52" s="16">
        <v>-0.6</v>
      </c>
      <c r="H52" s="4" t="s">
        <v>605</v>
      </c>
    </row>
    <row r="53" ht="14.25" customHeight="1">
      <c r="A53" s="7" t="s">
        <v>606</v>
      </c>
      <c r="B53" s="13" t="s">
        <v>713</v>
      </c>
      <c r="C53" s="14">
        <v>115.97</v>
      </c>
      <c r="D53" s="15">
        <v>-0.48</v>
      </c>
      <c r="E53" s="15">
        <v>-0.41</v>
      </c>
      <c r="H53" s="4" t="s">
        <v>606</v>
      </c>
    </row>
    <row r="54" ht="14.25" customHeight="1">
      <c r="A54" s="6" t="s">
        <v>607</v>
      </c>
      <c r="B54" s="10" t="s">
        <v>714</v>
      </c>
      <c r="C54" s="11">
        <v>50.02</v>
      </c>
      <c r="D54" s="16">
        <v>-0.16</v>
      </c>
      <c r="E54" s="16">
        <v>-0.32</v>
      </c>
      <c r="H54" s="4" t="s">
        <v>607</v>
      </c>
    </row>
    <row r="55" ht="14.25" customHeight="1">
      <c r="A55" s="7" t="s">
        <v>608</v>
      </c>
      <c r="B55" s="13" t="s">
        <v>715</v>
      </c>
      <c r="C55" s="14">
        <v>463.71</v>
      </c>
      <c r="D55" s="15">
        <v>-2.53</v>
      </c>
      <c r="E55" s="15">
        <v>-0.54</v>
      </c>
      <c r="H55" s="4" t="s">
        <v>608</v>
      </c>
    </row>
    <row r="56" ht="14.25" customHeight="1">
      <c r="A56" s="6" t="s">
        <v>609</v>
      </c>
      <c r="B56" s="10" t="s">
        <v>716</v>
      </c>
      <c r="C56" s="11">
        <v>133.69</v>
      </c>
      <c r="D56" s="12">
        <f>+3</f>
        <v>3</v>
      </c>
      <c r="E56" s="12">
        <f>+2.3</f>
        <v>2.3</v>
      </c>
      <c r="H56" s="4" t="s">
        <v>609</v>
      </c>
    </row>
    <row r="57" ht="14.25" customHeight="1">
      <c r="A57" s="7" t="s">
        <v>610</v>
      </c>
      <c r="B57" s="13" t="s">
        <v>717</v>
      </c>
      <c r="C57" s="14">
        <v>691.76</v>
      </c>
      <c r="D57" s="18">
        <f>+6.02</f>
        <v>6.02</v>
      </c>
      <c r="E57" s="18">
        <f>+0.88</f>
        <v>0.88</v>
      </c>
      <c r="H57" s="4" t="s">
        <v>610</v>
      </c>
    </row>
    <row r="58" ht="14.25" customHeight="1">
      <c r="A58" s="6" t="s">
        <v>611</v>
      </c>
      <c r="B58" s="10" t="s">
        <v>718</v>
      </c>
      <c r="C58" s="11">
        <v>14.38</v>
      </c>
      <c r="D58" s="16">
        <v>-0.36</v>
      </c>
      <c r="E58" s="16">
        <v>-2.47</v>
      </c>
      <c r="H58" s="4" t="s">
        <v>611</v>
      </c>
    </row>
    <row r="59" ht="14.25" customHeight="1">
      <c r="A59" s="7" t="s">
        <v>612</v>
      </c>
      <c r="B59" s="13" t="s">
        <v>719</v>
      </c>
      <c r="C59" s="14">
        <v>132.96</v>
      </c>
      <c r="D59" s="18">
        <f>+4.76</f>
        <v>4.76</v>
      </c>
      <c r="E59" s="18">
        <f>+3.71</f>
        <v>3.71</v>
      </c>
      <c r="H59" s="4" t="s">
        <v>612</v>
      </c>
    </row>
    <row r="60" ht="14.25" customHeight="1">
      <c r="A60" s="6" t="s">
        <v>613</v>
      </c>
      <c r="B60" s="10" t="s">
        <v>720</v>
      </c>
      <c r="C60" s="11">
        <v>275.33</v>
      </c>
      <c r="D60" s="16">
        <v>-1.89</v>
      </c>
      <c r="E60" s="16">
        <v>-0.68</v>
      </c>
      <c r="H60" s="4" t="s">
        <v>613</v>
      </c>
    </row>
    <row r="61" ht="14.25" customHeight="1">
      <c r="A61" s="7" t="s">
        <v>614</v>
      </c>
      <c r="B61" s="13" t="s">
        <v>721</v>
      </c>
      <c r="C61" s="14">
        <v>178.47</v>
      </c>
      <c r="D61" s="15">
        <v>-2.59</v>
      </c>
      <c r="E61" s="15">
        <v>-1.43</v>
      </c>
      <c r="H61" s="4" t="s">
        <v>614</v>
      </c>
    </row>
    <row r="62" ht="14.25" customHeight="1">
      <c r="A62" s="6" t="s">
        <v>615</v>
      </c>
      <c r="B62" s="10" t="s">
        <v>722</v>
      </c>
      <c r="C62" s="17">
        <v>1021.46</v>
      </c>
      <c r="D62" s="16">
        <v>-1.33</v>
      </c>
      <c r="E62" s="16">
        <v>-0.13</v>
      </c>
      <c r="H62" s="4" t="s">
        <v>615</v>
      </c>
    </row>
    <row r="63" ht="14.25" customHeight="1">
      <c r="A63" s="7" t="s">
        <v>616</v>
      </c>
      <c r="B63" s="13" t="s">
        <v>723</v>
      </c>
      <c r="C63" s="14">
        <v>101.9</v>
      </c>
      <c r="D63" s="18">
        <f>+0.62</f>
        <v>0.62</v>
      </c>
      <c r="E63" s="18">
        <f>+0.61</f>
        <v>0.61</v>
      </c>
      <c r="H63" s="4" t="s">
        <v>616</v>
      </c>
    </row>
    <row r="64" ht="14.25" customHeight="1">
      <c r="A64" s="6" t="s">
        <v>617</v>
      </c>
      <c r="B64" s="10" t="s">
        <v>724</v>
      </c>
      <c r="C64" s="11">
        <v>332.61</v>
      </c>
      <c r="D64" s="16">
        <v>-5.03</v>
      </c>
      <c r="E64" s="16">
        <v>-1.49</v>
      </c>
      <c r="H64" s="4" t="s">
        <v>617</v>
      </c>
    </row>
    <row r="65" ht="14.25" customHeight="1">
      <c r="A65" s="7" t="s">
        <v>618</v>
      </c>
      <c r="B65" s="13" t="s">
        <v>725</v>
      </c>
      <c r="C65" s="14">
        <v>116.14</v>
      </c>
      <c r="D65" s="15">
        <v>-0.03</v>
      </c>
      <c r="E65" s="15">
        <v>-0.03</v>
      </c>
      <c r="H65" s="4" t="s">
        <v>618</v>
      </c>
    </row>
    <row r="66" ht="14.25" customHeight="1">
      <c r="A66" s="6" t="s">
        <v>619</v>
      </c>
      <c r="B66" s="10" t="s">
        <v>726</v>
      </c>
      <c r="C66" s="11">
        <v>137.19</v>
      </c>
      <c r="D66" s="12">
        <f>+2.51</f>
        <v>2.51</v>
      </c>
      <c r="E66" s="12">
        <f>+1.86</f>
        <v>1.86</v>
      </c>
      <c r="H66" s="4" t="s">
        <v>619</v>
      </c>
    </row>
    <row r="67" ht="14.25" customHeight="1">
      <c r="A67" s="7" t="s">
        <v>620</v>
      </c>
      <c r="B67" s="13" t="s">
        <v>727</v>
      </c>
      <c r="C67" s="14">
        <v>58.73</v>
      </c>
      <c r="D67" s="15">
        <v>-0.36</v>
      </c>
      <c r="E67" s="15">
        <v>-0.6</v>
      </c>
      <c r="H67" s="4" t="s">
        <v>620</v>
      </c>
    </row>
    <row r="68" ht="14.25" customHeight="1">
      <c r="A68" s="6" t="s">
        <v>621</v>
      </c>
      <c r="B68" s="10" t="s">
        <v>728</v>
      </c>
      <c r="C68" s="11">
        <v>162.24</v>
      </c>
      <c r="D68" s="12">
        <f>+0.12</f>
        <v>0.12</v>
      </c>
      <c r="E68" s="12">
        <f>+0.07</f>
        <v>0.07</v>
      </c>
      <c r="H68" s="4" t="s">
        <v>621</v>
      </c>
    </row>
    <row r="69" ht="14.25" customHeight="1">
      <c r="A69" s="7" t="s">
        <v>622</v>
      </c>
      <c r="B69" s="13" t="s">
        <v>729</v>
      </c>
      <c r="C69" s="14">
        <v>207.7</v>
      </c>
      <c r="D69" s="15">
        <v>-0.19</v>
      </c>
      <c r="E69" s="15">
        <v>-0.09</v>
      </c>
      <c r="H69" s="4" t="s">
        <v>622</v>
      </c>
    </row>
    <row r="70" ht="14.25" customHeight="1">
      <c r="A70" s="6" t="s">
        <v>623</v>
      </c>
      <c r="B70" s="10" t="s">
        <v>730</v>
      </c>
      <c r="C70" s="17">
        <v>1052.77</v>
      </c>
      <c r="D70" s="12">
        <f>+0.52</f>
        <v>0.52</v>
      </c>
      <c r="E70" s="12">
        <f>+0.05</f>
        <v>0.05</v>
      </c>
      <c r="H70" s="4" t="s">
        <v>623</v>
      </c>
    </row>
    <row r="71" ht="14.25" customHeight="1">
      <c r="A71" s="7" t="s">
        <v>624</v>
      </c>
      <c r="B71" s="13" t="s">
        <v>731</v>
      </c>
      <c r="C71" s="14">
        <v>147.35</v>
      </c>
      <c r="D71" s="18">
        <f>+0.66</f>
        <v>0.66</v>
      </c>
      <c r="E71" s="18">
        <f>+0.45</f>
        <v>0.45</v>
      </c>
      <c r="H71" s="4" t="s">
        <v>624</v>
      </c>
    </row>
    <row r="72" ht="14.25" customHeight="1">
      <c r="A72" s="6" t="s">
        <v>625</v>
      </c>
      <c r="B72" s="10" t="s">
        <v>732</v>
      </c>
      <c r="C72" s="11">
        <v>74.34</v>
      </c>
      <c r="D72" s="16">
        <v>-0.23</v>
      </c>
      <c r="E72" s="16">
        <v>-0.31</v>
      </c>
      <c r="H72" s="4" t="s">
        <v>625</v>
      </c>
    </row>
    <row r="73" ht="14.25" customHeight="1">
      <c r="A73" s="7" t="s">
        <v>626</v>
      </c>
      <c r="B73" s="13" t="s">
        <v>733</v>
      </c>
      <c r="C73" s="14">
        <v>604.83</v>
      </c>
      <c r="D73" s="15">
        <v>-10.66</v>
      </c>
      <c r="E73" s="15">
        <v>-1.73</v>
      </c>
      <c r="H73" s="4" t="s">
        <v>626</v>
      </c>
    </row>
    <row r="74" ht="14.25" customHeight="1">
      <c r="A74" s="6" t="s">
        <v>627</v>
      </c>
      <c r="B74" s="10" t="s">
        <v>734</v>
      </c>
      <c r="C74" s="11">
        <v>258.11</v>
      </c>
      <c r="D74" s="12">
        <f>+5.17</f>
        <v>5.17</v>
      </c>
      <c r="E74" s="12">
        <f>+2.04</f>
        <v>2.04</v>
      </c>
      <c r="H74" s="4" t="s">
        <v>627</v>
      </c>
    </row>
    <row r="75" ht="14.25" customHeight="1">
      <c r="A75" s="7" t="s">
        <v>628</v>
      </c>
      <c r="B75" s="13" t="s">
        <v>735</v>
      </c>
      <c r="C75" s="14">
        <v>200.38</v>
      </c>
      <c r="D75" s="15">
        <v>-1.09</v>
      </c>
      <c r="E75" s="15">
        <v>-0.54</v>
      </c>
      <c r="H75" s="4" t="s">
        <v>628</v>
      </c>
    </row>
    <row r="76" ht="14.25" customHeight="1">
      <c r="A76" s="6" t="s">
        <v>629</v>
      </c>
      <c r="B76" s="10" t="s">
        <v>736</v>
      </c>
      <c r="C76" s="11">
        <v>179.0</v>
      </c>
      <c r="D76" s="16">
        <v>-0.17</v>
      </c>
      <c r="E76" s="16">
        <v>-0.09</v>
      </c>
      <c r="H76" s="4" t="s">
        <v>629</v>
      </c>
    </row>
    <row r="77" ht="14.25" customHeight="1">
      <c r="A77" s="7" t="s">
        <v>630</v>
      </c>
      <c r="B77" s="13" t="s">
        <v>737</v>
      </c>
      <c r="C77" s="14">
        <v>275.29</v>
      </c>
      <c r="D77" s="18">
        <f>+2.09</f>
        <v>2.09</v>
      </c>
      <c r="E77" s="18">
        <f>+0.77</f>
        <v>0.77</v>
      </c>
      <c r="H77" s="4" t="s">
        <v>630</v>
      </c>
    </row>
    <row r="78" ht="14.25" customHeight="1">
      <c r="A78" s="6" t="s">
        <v>631</v>
      </c>
      <c r="B78" s="10" t="s">
        <v>738</v>
      </c>
      <c r="C78" s="11">
        <v>484.97</v>
      </c>
      <c r="D78" s="12">
        <f>+3.08</f>
        <v>3.08</v>
      </c>
      <c r="E78" s="12">
        <f>+0.64</f>
        <v>0.64</v>
      </c>
      <c r="H78" s="4" t="s">
        <v>631</v>
      </c>
    </row>
    <row r="79" ht="14.25" customHeight="1">
      <c r="A79" s="7" t="s">
        <v>632</v>
      </c>
      <c r="B79" s="13" t="s">
        <v>739</v>
      </c>
      <c r="C79" s="14">
        <v>10.94</v>
      </c>
      <c r="D79" s="18">
        <f>+0.12</f>
        <v>0.12</v>
      </c>
      <c r="E79" s="18">
        <f>+1.09</f>
        <v>1.09</v>
      </c>
      <c r="H79" s="4" t="s">
        <v>632</v>
      </c>
    </row>
    <row r="80" ht="14.25" customHeight="1">
      <c r="A80" s="6" t="s">
        <v>633</v>
      </c>
      <c r="B80" s="10" t="s">
        <v>740</v>
      </c>
      <c r="C80" s="11">
        <v>7.08</v>
      </c>
      <c r="D80" s="16">
        <v>-0.03</v>
      </c>
      <c r="E80" s="16">
        <v>-0.35</v>
      </c>
      <c r="H80" s="4" t="s">
        <v>633</v>
      </c>
    </row>
    <row r="81" ht="14.25" customHeight="1">
      <c r="A81" s="7" t="s">
        <v>634</v>
      </c>
      <c r="B81" s="13" t="s">
        <v>741</v>
      </c>
      <c r="C81" s="14">
        <v>221.94</v>
      </c>
      <c r="D81" s="15">
        <v>-4.59</v>
      </c>
      <c r="E81" s="15">
        <v>-2.03</v>
      </c>
      <c r="H81" s="4" t="s">
        <v>634</v>
      </c>
    </row>
    <row r="82" ht="14.25" customHeight="1">
      <c r="A82" s="6" t="s">
        <v>635</v>
      </c>
      <c r="B82" s="10" t="s">
        <v>742</v>
      </c>
      <c r="C82" s="11">
        <v>52.3</v>
      </c>
      <c r="D82" s="12">
        <f>+0.2</f>
        <v>0.2</v>
      </c>
      <c r="E82" s="12">
        <f>+0.37</f>
        <v>0.37</v>
      </c>
      <c r="H82" s="4" t="s">
        <v>635</v>
      </c>
    </row>
    <row r="83" ht="14.25" customHeight="1">
      <c r="A83" s="7" t="s">
        <v>636</v>
      </c>
      <c r="B83" s="13" t="s">
        <v>743</v>
      </c>
      <c r="C83" s="14">
        <v>196.01</v>
      </c>
      <c r="D83" s="15">
        <v>-5.62</v>
      </c>
      <c r="E83" s="15">
        <v>-2.78</v>
      </c>
      <c r="H83" s="4" t="s">
        <v>636</v>
      </c>
    </row>
    <row r="84" ht="14.25" customHeight="1">
      <c r="A84" s="6" t="s">
        <v>637</v>
      </c>
      <c r="B84" s="10" t="s">
        <v>744</v>
      </c>
      <c r="C84" s="11">
        <v>233.65</v>
      </c>
      <c r="D84" s="12">
        <f>+0.21</f>
        <v>0.21</v>
      </c>
      <c r="E84" s="12">
        <f>+0.09</f>
        <v>0.09</v>
      </c>
      <c r="H84" s="4" t="s">
        <v>637</v>
      </c>
    </row>
    <row r="85" ht="14.25" customHeight="1">
      <c r="A85" s="7" t="s">
        <v>638</v>
      </c>
      <c r="B85" s="13" t="s">
        <v>745</v>
      </c>
      <c r="C85" s="14">
        <v>154.61</v>
      </c>
      <c r="D85" s="18">
        <f>+2.65</f>
        <v>2.65</v>
      </c>
      <c r="E85" s="18">
        <f>+1.74</f>
        <v>1.74</v>
      </c>
      <c r="H85" s="4" t="s">
        <v>638</v>
      </c>
    </row>
    <row r="86" ht="14.25" customHeight="1">
      <c r="A86" s="6" t="s">
        <v>639</v>
      </c>
      <c r="B86" s="10" t="s">
        <v>746</v>
      </c>
      <c r="C86" s="11">
        <v>176.74</v>
      </c>
      <c r="D86" s="16">
        <v>-1.95</v>
      </c>
      <c r="E86" s="16">
        <v>-1.09</v>
      </c>
      <c r="H86" s="4" t="s">
        <v>639</v>
      </c>
    </row>
    <row r="87" ht="14.25" customHeight="1">
      <c r="A87" s="7" t="s">
        <v>640</v>
      </c>
      <c r="B87" s="13" t="s">
        <v>747</v>
      </c>
      <c r="C87" s="14">
        <v>219.17</v>
      </c>
      <c r="D87" s="18">
        <f>+3.44</f>
        <v>3.44</v>
      </c>
      <c r="E87" s="18">
        <f>+1.59</f>
        <v>1.59</v>
      </c>
      <c r="H87" s="4" t="s">
        <v>640</v>
      </c>
    </row>
    <row r="88" ht="14.25" customHeight="1">
      <c r="A88" s="6" t="s">
        <v>641</v>
      </c>
      <c r="B88" s="10" t="s">
        <v>748</v>
      </c>
      <c r="C88" s="11">
        <v>199.99</v>
      </c>
      <c r="D88" s="12">
        <f>+0.7</f>
        <v>0.7</v>
      </c>
      <c r="E88" s="12">
        <f>+0.35</f>
        <v>0.35</v>
      </c>
      <c r="H88" s="4" t="s">
        <v>641</v>
      </c>
    </row>
    <row r="89" ht="14.25" customHeight="1">
      <c r="A89" s="7" t="s">
        <v>642</v>
      </c>
      <c r="B89" s="13" t="s">
        <v>749</v>
      </c>
      <c r="C89" s="14">
        <v>311.69</v>
      </c>
      <c r="D89" s="18">
        <f>+0.23</f>
        <v>0.23</v>
      </c>
      <c r="E89" s="18">
        <f>+0.07</f>
        <v>0.07</v>
      </c>
      <c r="H89" s="4" t="s">
        <v>642</v>
      </c>
    </row>
    <row r="90" ht="14.25" customHeight="1">
      <c r="A90" s="6" t="s">
        <v>643</v>
      </c>
      <c r="B90" s="10" t="s">
        <v>750</v>
      </c>
      <c r="C90" s="11">
        <v>87.02</v>
      </c>
      <c r="D90" s="16">
        <v>-0.09</v>
      </c>
      <c r="E90" s="16">
        <v>-0.1</v>
      </c>
      <c r="H90" s="4" t="s">
        <v>643</v>
      </c>
    </row>
    <row r="91" ht="14.25" customHeight="1">
      <c r="A91" s="7" t="s">
        <v>644</v>
      </c>
      <c r="B91" s="13" t="s">
        <v>751</v>
      </c>
      <c r="C91" s="14">
        <v>216.16</v>
      </c>
      <c r="D91" s="15">
        <v>-0.71</v>
      </c>
      <c r="E91" s="15">
        <v>-0.33</v>
      </c>
      <c r="H91" s="4" t="s">
        <v>644</v>
      </c>
    </row>
    <row r="92" ht="14.25" customHeight="1">
      <c r="A92" s="6" t="s">
        <v>645</v>
      </c>
      <c r="B92" s="10" t="s">
        <v>752</v>
      </c>
      <c r="C92" s="11">
        <v>72.95</v>
      </c>
      <c r="D92" s="16">
        <v>-0.48</v>
      </c>
      <c r="E92" s="16">
        <v>-0.65</v>
      </c>
      <c r="H92" s="4" t="s">
        <v>645</v>
      </c>
    </row>
    <row r="93" ht="14.25" customHeight="1">
      <c r="A93" s="7" t="s">
        <v>646</v>
      </c>
      <c r="B93" s="13" t="s">
        <v>753</v>
      </c>
      <c r="C93" s="14">
        <v>232.68</v>
      </c>
      <c r="D93" s="15">
        <v>-0.66</v>
      </c>
      <c r="E93" s="15">
        <v>-0.28</v>
      </c>
      <c r="H93" s="4" t="s">
        <v>646</v>
      </c>
    </row>
    <row r="94" ht="14.25" customHeight="1">
      <c r="A94" s="6" t="s">
        <v>647</v>
      </c>
      <c r="B94" s="10" t="s">
        <v>754</v>
      </c>
      <c r="C94" s="11">
        <v>247.77</v>
      </c>
      <c r="D94" s="16">
        <v>-12.33</v>
      </c>
      <c r="E94" s="16">
        <v>-4.74</v>
      </c>
      <c r="H94" s="4" t="s">
        <v>647</v>
      </c>
    </row>
    <row r="95" ht="14.25" customHeight="1">
      <c r="A95" s="7" t="s">
        <v>648</v>
      </c>
      <c r="B95" s="13" t="s">
        <v>755</v>
      </c>
      <c r="C95" s="14">
        <v>111.92</v>
      </c>
      <c r="D95" s="18">
        <f>+2.88</f>
        <v>2.88</v>
      </c>
      <c r="E95" s="18">
        <f>+2.64</f>
        <v>2.64</v>
      </c>
      <c r="H95" s="4" t="s">
        <v>648</v>
      </c>
    </row>
    <row r="96" ht="14.25" customHeight="1">
      <c r="A96" s="6" t="s">
        <v>649</v>
      </c>
      <c r="B96" s="10" t="s">
        <v>756</v>
      </c>
      <c r="C96" s="11">
        <v>550.49</v>
      </c>
      <c r="D96" s="16">
        <v>-6.31</v>
      </c>
      <c r="E96" s="16">
        <v>-1.13</v>
      </c>
      <c r="H96" s="4" t="s">
        <v>649</v>
      </c>
    </row>
    <row r="97" ht="14.25" customHeight="1">
      <c r="A97" s="7" t="s">
        <v>650</v>
      </c>
      <c r="B97" s="13" t="s">
        <v>757</v>
      </c>
      <c r="C97" s="14">
        <v>325.83</v>
      </c>
      <c r="D97" s="15">
        <v>-1.81</v>
      </c>
      <c r="E97" s="15">
        <v>-0.55</v>
      </c>
      <c r="H97" s="4" t="s">
        <v>650</v>
      </c>
    </row>
    <row r="98" ht="14.25" customHeight="1">
      <c r="A98" s="6" t="s">
        <v>651</v>
      </c>
      <c r="B98" s="10" t="s">
        <v>758</v>
      </c>
      <c r="C98" s="11">
        <v>228.03</v>
      </c>
      <c r="D98" s="12">
        <f>+0.21</f>
        <v>0.21</v>
      </c>
      <c r="E98" s="12">
        <f>+0.09</f>
        <v>0.09</v>
      </c>
      <c r="H98" s="4" t="s">
        <v>651</v>
      </c>
    </row>
    <row r="99" ht="14.25" customHeight="1">
      <c r="A99" s="7" t="s">
        <v>652</v>
      </c>
      <c r="B99" s="13" t="s">
        <v>759</v>
      </c>
      <c r="C99" s="14">
        <v>248.73</v>
      </c>
      <c r="D99" s="18">
        <f>+2.44</f>
        <v>2.44</v>
      </c>
      <c r="E99" s="18">
        <f>+0.99</f>
        <v>0.99</v>
      </c>
      <c r="H99" s="4" t="s">
        <v>652</v>
      </c>
    </row>
    <row r="100" ht="14.25" customHeight="1">
      <c r="A100" s="6" t="s">
        <v>653</v>
      </c>
      <c r="B100" s="10" t="s">
        <v>760</v>
      </c>
      <c r="C100" s="11">
        <v>76.1</v>
      </c>
      <c r="D100" s="16">
        <v>-0.25</v>
      </c>
      <c r="E100" s="16">
        <v>-0.33</v>
      </c>
      <c r="H100" s="4" t="s">
        <v>653</v>
      </c>
    </row>
    <row r="101" ht="14.25" customHeight="1">
      <c r="A101" s="7" t="s">
        <v>654</v>
      </c>
      <c r="B101" s="13" t="s">
        <v>761</v>
      </c>
      <c r="C101" s="19">
        <v>1066.15</v>
      </c>
      <c r="D101" s="15">
        <v>-11.24</v>
      </c>
      <c r="E101" s="15">
        <v>-1.04</v>
      </c>
      <c r="H101" s="4" t="s">
        <v>654</v>
      </c>
    </row>
    <row r="102" ht="14.25" customHeight="1">
      <c r="A102" s="6" t="s">
        <v>655</v>
      </c>
      <c r="B102" s="10" t="s">
        <v>762</v>
      </c>
      <c r="C102" s="11">
        <v>181.42</v>
      </c>
      <c r="D102" s="16">
        <v>-0.38</v>
      </c>
      <c r="E102" s="16">
        <v>-0.21</v>
      </c>
      <c r="H102" s="4" t="s">
        <v>655</v>
      </c>
    </row>
    <row r="103" ht="14.25" customHeight="1">
      <c r="A103" s="7" t="s">
        <v>656</v>
      </c>
      <c r="B103" s="13" t="s">
        <v>763</v>
      </c>
      <c r="C103" s="14">
        <v>243.19</v>
      </c>
      <c r="D103" s="15">
        <v>-4.77</v>
      </c>
      <c r="E103" s="15">
        <v>-1.92</v>
      </c>
      <c r="H103" s="4" t="s">
        <v>656</v>
      </c>
    </row>
    <row r="104" ht="14.25" customHeight="1">
      <c r="A104" s="20"/>
      <c r="H104" s="4" t="s">
        <v>764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A3"/>
    <hyperlink r:id="rId3" ref="H3"/>
    <hyperlink r:id="rId4" ref="A4"/>
    <hyperlink r:id="rId5" ref="H4"/>
    <hyperlink r:id="rId6" ref="A5"/>
    <hyperlink r:id="rId7" ref="H5"/>
    <hyperlink r:id="rId8" ref="A6"/>
    <hyperlink r:id="rId9" ref="H6"/>
    <hyperlink r:id="rId10" ref="A7"/>
    <hyperlink r:id="rId11" ref="H7"/>
    <hyperlink r:id="rId12" ref="A8"/>
    <hyperlink r:id="rId13" ref="H8"/>
    <hyperlink r:id="rId14" ref="A9"/>
    <hyperlink r:id="rId15" ref="H9"/>
    <hyperlink r:id="rId16" ref="A10"/>
    <hyperlink r:id="rId17" ref="H10"/>
    <hyperlink r:id="rId18" ref="A11"/>
    <hyperlink r:id="rId19" ref="H11"/>
    <hyperlink r:id="rId20" ref="A12"/>
    <hyperlink r:id="rId21" ref="H12"/>
    <hyperlink r:id="rId22" ref="A13"/>
    <hyperlink r:id="rId23" ref="H13"/>
    <hyperlink r:id="rId24" ref="A14"/>
    <hyperlink r:id="rId25" ref="H14"/>
    <hyperlink r:id="rId26" ref="A15"/>
    <hyperlink r:id="rId27" ref="H15"/>
    <hyperlink r:id="rId28" ref="A16"/>
    <hyperlink r:id="rId29" ref="H16"/>
    <hyperlink r:id="rId30" ref="A17"/>
    <hyperlink r:id="rId31" ref="H17"/>
    <hyperlink r:id="rId32" ref="A18"/>
    <hyperlink r:id="rId33" ref="H18"/>
    <hyperlink r:id="rId34" ref="A19"/>
    <hyperlink r:id="rId35" ref="H19"/>
    <hyperlink r:id="rId36" ref="A20"/>
    <hyperlink r:id="rId37" ref="H20"/>
    <hyperlink r:id="rId38" ref="A21"/>
    <hyperlink r:id="rId39" ref="H21"/>
    <hyperlink r:id="rId40" ref="A22"/>
    <hyperlink r:id="rId41" ref="H22"/>
    <hyperlink r:id="rId42" ref="A23"/>
    <hyperlink r:id="rId43" ref="H23"/>
    <hyperlink r:id="rId44" ref="A24"/>
    <hyperlink r:id="rId45" ref="H24"/>
    <hyperlink r:id="rId46" ref="A25"/>
    <hyperlink r:id="rId47" ref="H25"/>
    <hyperlink r:id="rId48" ref="A26"/>
    <hyperlink r:id="rId49" ref="H26"/>
    <hyperlink r:id="rId50" ref="A27"/>
    <hyperlink r:id="rId51" ref="H27"/>
    <hyperlink r:id="rId52" ref="A28"/>
    <hyperlink r:id="rId53" ref="H28"/>
    <hyperlink r:id="rId54" ref="A29"/>
    <hyperlink r:id="rId55" ref="H29"/>
    <hyperlink r:id="rId56" ref="A30"/>
    <hyperlink r:id="rId57" ref="H30"/>
    <hyperlink r:id="rId58" ref="A31"/>
    <hyperlink r:id="rId59" ref="H31"/>
    <hyperlink r:id="rId60" ref="A32"/>
    <hyperlink r:id="rId61" ref="H32"/>
    <hyperlink r:id="rId62" ref="A33"/>
    <hyperlink r:id="rId63" ref="H33"/>
    <hyperlink r:id="rId64" ref="A34"/>
    <hyperlink r:id="rId65" ref="H34"/>
    <hyperlink r:id="rId66" ref="A35"/>
    <hyperlink r:id="rId67" ref="H35"/>
    <hyperlink r:id="rId68" ref="A36"/>
    <hyperlink r:id="rId69" ref="H36"/>
    <hyperlink r:id="rId70" ref="A37"/>
    <hyperlink r:id="rId71" ref="H37"/>
    <hyperlink r:id="rId72" ref="A38"/>
    <hyperlink r:id="rId73" ref="H38"/>
    <hyperlink r:id="rId74" ref="A39"/>
    <hyperlink r:id="rId75" ref="H39"/>
    <hyperlink r:id="rId76" ref="A40"/>
    <hyperlink r:id="rId77" ref="H40"/>
    <hyperlink r:id="rId78" ref="A41"/>
    <hyperlink r:id="rId79" ref="H41"/>
    <hyperlink r:id="rId80" ref="A42"/>
    <hyperlink r:id="rId81" ref="H42"/>
    <hyperlink r:id="rId82" ref="A43"/>
    <hyperlink r:id="rId83" ref="H43"/>
    <hyperlink r:id="rId84" ref="A44"/>
    <hyperlink r:id="rId85" ref="H44"/>
    <hyperlink r:id="rId86" ref="A45"/>
    <hyperlink r:id="rId87" ref="H45"/>
    <hyperlink r:id="rId88" ref="A46"/>
    <hyperlink r:id="rId89" ref="H46"/>
    <hyperlink r:id="rId90" ref="A47"/>
    <hyperlink r:id="rId91" ref="H47"/>
    <hyperlink r:id="rId92" ref="A48"/>
    <hyperlink r:id="rId93" ref="H48"/>
    <hyperlink r:id="rId94" ref="A49"/>
    <hyperlink r:id="rId95" ref="H49"/>
    <hyperlink r:id="rId96" ref="A50"/>
    <hyperlink r:id="rId97" ref="H50"/>
    <hyperlink r:id="rId98" ref="A51"/>
    <hyperlink r:id="rId99" ref="H51"/>
    <hyperlink r:id="rId100" ref="A52"/>
    <hyperlink r:id="rId101" ref="H52"/>
    <hyperlink r:id="rId102" ref="A53"/>
    <hyperlink r:id="rId103" ref="H53"/>
    <hyperlink r:id="rId104" ref="A54"/>
    <hyperlink r:id="rId105" ref="H54"/>
    <hyperlink r:id="rId106" ref="A55"/>
    <hyperlink r:id="rId107" ref="H55"/>
    <hyperlink r:id="rId108" ref="A56"/>
    <hyperlink r:id="rId109" ref="H56"/>
    <hyperlink r:id="rId110" ref="A57"/>
    <hyperlink r:id="rId111" ref="H57"/>
    <hyperlink r:id="rId112" ref="A58"/>
    <hyperlink r:id="rId113" ref="H58"/>
    <hyperlink r:id="rId114" ref="A59"/>
    <hyperlink r:id="rId115" ref="H59"/>
    <hyperlink r:id="rId116" ref="A60"/>
    <hyperlink r:id="rId117" ref="H60"/>
    <hyperlink r:id="rId118" ref="A61"/>
    <hyperlink r:id="rId119" ref="H61"/>
    <hyperlink r:id="rId120" ref="A62"/>
    <hyperlink r:id="rId121" ref="H62"/>
    <hyperlink r:id="rId122" ref="A63"/>
    <hyperlink r:id="rId123" ref="H63"/>
    <hyperlink r:id="rId124" ref="A64"/>
    <hyperlink r:id="rId125" ref="H64"/>
    <hyperlink r:id="rId126" ref="A65"/>
    <hyperlink r:id="rId127" ref="H65"/>
    <hyperlink r:id="rId128" ref="A66"/>
    <hyperlink r:id="rId129" ref="H66"/>
    <hyperlink r:id="rId130" ref="A67"/>
    <hyperlink r:id="rId131" ref="H67"/>
    <hyperlink r:id="rId132" ref="A68"/>
    <hyperlink r:id="rId133" ref="H68"/>
    <hyperlink r:id="rId134" ref="A69"/>
    <hyperlink r:id="rId135" ref="H69"/>
    <hyperlink r:id="rId136" ref="A70"/>
    <hyperlink r:id="rId137" ref="H70"/>
    <hyperlink r:id="rId138" ref="A71"/>
    <hyperlink r:id="rId139" ref="H71"/>
    <hyperlink r:id="rId140" ref="A72"/>
    <hyperlink r:id="rId141" ref="H72"/>
    <hyperlink r:id="rId142" ref="A73"/>
    <hyperlink r:id="rId143" ref="H73"/>
    <hyperlink r:id="rId144" ref="A74"/>
    <hyperlink r:id="rId145" ref="H74"/>
    <hyperlink r:id="rId146" ref="A75"/>
    <hyperlink r:id="rId147" ref="H75"/>
    <hyperlink r:id="rId148" ref="A76"/>
    <hyperlink r:id="rId149" ref="H76"/>
    <hyperlink r:id="rId150" ref="A77"/>
    <hyperlink r:id="rId151" ref="H77"/>
    <hyperlink r:id="rId152" ref="A78"/>
    <hyperlink r:id="rId153" ref="H78"/>
    <hyperlink r:id="rId154" ref="A79"/>
    <hyperlink r:id="rId155" ref="H79"/>
    <hyperlink r:id="rId156" ref="A80"/>
    <hyperlink r:id="rId157" ref="H80"/>
    <hyperlink r:id="rId158" ref="A81"/>
    <hyperlink r:id="rId159" ref="H81"/>
    <hyperlink r:id="rId160" ref="A82"/>
    <hyperlink r:id="rId161" ref="H82"/>
    <hyperlink r:id="rId162" ref="A83"/>
    <hyperlink r:id="rId163" ref="H83"/>
    <hyperlink r:id="rId164" ref="A84"/>
    <hyperlink r:id="rId165" ref="H84"/>
    <hyperlink r:id="rId166" ref="A85"/>
    <hyperlink r:id="rId167" ref="H85"/>
    <hyperlink r:id="rId168" ref="A86"/>
    <hyperlink r:id="rId169" ref="H86"/>
    <hyperlink r:id="rId170" ref="A87"/>
    <hyperlink r:id="rId171" ref="H87"/>
    <hyperlink r:id="rId172" ref="A88"/>
    <hyperlink r:id="rId173" ref="H88"/>
    <hyperlink r:id="rId174" ref="A89"/>
    <hyperlink r:id="rId175" ref="H89"/>
    <hyperlink r:id="rId176" ref="A90"/>
    <hyperlink r:id="rId177" ref="H90"/>
    <hyperlink r:id="rId178" ref="A91"/>
    <hyperlink r:id="rId179" ref="H91"/>
    <hyperlink r:id="rId180" ref="A92"/>
    <hyperlink r:id="rId181" ref="H92"/>
    <hyperlink r:id="rId182" ref="A93"/>
    <hyperlink r:id="rId183" ref="H93"/>
    <hyperlink r:id="rId184" ref="A94"/>
    <hyperlink r:id="rId185" ref="H94"/>
    <hyperlink r:id="rId186" ref="A95"/>
    <hyperlink r:id="rId187" ref="H95"/>
    <hyperlink r:id="rId188" ref="A96"/>
    <hyperlink r:id="rId189" ref="H96"/>
    <hyperlink r:id="rId190" ref="A97"/>
    <hyperlink r:id="rId191" ref="H97"/>
    <hyperlink r:id="rId192" ref="A98"/>
    <hyperlink r:id="rId193" ref="H98"/>
    <hyperlink r:id="rId194" ref="A99"/>
    <hyperlink r:id="rId195" ref="H99"/>
    <hyperlink r:id="rId196" ref="A100"/>
    <hyperlink r:id="rId197" ref="H100"/>
    <hyperlink r:id="rId198" ref="A101"/>
    <hyperlink r:id="rId199" ref="H101"/>
    <hyperlink r:id="rId200" ref="A102"/>
    <hyperlink r:id="rId201" ref="H102"/>
    <hyperlink r:id="rId202" ref="A103"/>
    <hyperlink r:id="rId203" ref="H103"/>
  </hyperlinks>
  <printOptions/>
  <pageMargins bottom="0.75" footer="0.0" header="0.0" left="0.7" right="0.7" top="0.75"/>
  <pageSetup orientation="landscape"/>
  <drawing r:id="rId20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765</v>
      </c>
    </row>
    <row r="2">
      <c r="A2" s="5" t="s">
        <v>65</v>
      </c>
      <c r="B2" s="3" t="s">
        <v>53</v>
      </c>
      <c r="C2" s="2" t="str">
        <f t="shared" ref="C2:C51" si="1">CONCAT(A2,B2)</f>
        <v>ADANIENT.NS</v>
      </c>
    </row>
    <row r="3">
      <c r="A3" s="5" t="s">
        <v>67</v>
      </c>
      <c r="B3" s="3" t="s">
        <v>53</v>
      </c>
      <c r="C3" s="2" t="str">
        <f t="shared" si="1"/>
        <v>ADANIPORTS.NS</v>
      </c>
    </row>
    <row r="4">
      <c r="A4" s="5" t="s">
        <v>89</v>
      </c>
      <c r="B4" s="3" t="s">
        <v>53</v>
      </c>
      <c r="C4" s="2" t="str">
        <f t="shared" si="1"/>
        <v>APOLLOHOSP.NS</v>
      </c>
    </row>
    <row r="5">
      <c r="A5" s="5" t="s">
        <v>95</v>
      </c>
      <c r="B5" s="3" t="s">
        <v>53</v>
      </c>
      <c r="C5" s="2" t="str">
        <f t="shared" si="1"/>
        <v>ASIANPAINT.NS</v>
      </c>
    </row>
    <row r="6">
      <c r="A6" s="5" t="s">
        <v>103</v>
      </c>
      <c r="B6" s="3" t="s">
        <v>53</v>
      </c>
      <c r="C6" s="2" t="str">
        <f t="shared" si="1"/>
        <v>AXISBANK.NS</v>
      </c>
    </row>
    <row r="7">
      <c r="A7" s="5" t="s">
        <v>107</v>
      </c>
      <c r="B7" s="3" t="s">
        <v>53</v>
      </c>
      <c r="C7" s="2" t="str">
        <f t="shared" si="1"/>
        <v>BAJAJ-AUTO.NS</v>
      </c>
    </row>
    <row r="8">
      <c r="A8" s="5" t="s">
        <v>108</v>
      </c>
      <c r="B8" s="3" t="s">
        <v>53</v>
      </c>
      <c r="C8" s="2" t="str">
        <f t="shared" si="1"/>
        <v>BAJFINANCE.NS</v>
      </c>
    </row>
    <row r="9">
      <c r="A9" s="5" t="s">
        <v>109</v>
      </c>
      <c r="B9" s="3" t="s">
        <v>53</v>
      </c>
      <c r="C9" s="2" t="str">
        <f t="shared" si="1"/>
        <v>BAJAJFINSV.NS</v>
      </c>
    </row>
    <row r="10">
      <c r="A10" s="5" t="s">
        <v>125</v>
      </c>
      <c r="B10" s="3" t="s">
        <v>53</v>
      </c>
      <c r="C10" s="2" t="str">
        <f t="shared" si="1"/>
        <v>BPCL.NS</v>
      </c>
    </row>
    <row r="11">
      <c r="A11" s="5" t="s">
        <v>126</v>
      </c>
      <c r="B11" s="3" t="s">
        <v>53</v>
      </c>
      <c r="C11" s="2" t="str">
        <f t="shared" si="1"/>
        <v>BHARTIARTL.NS</v>
      </c>
    </row>
    <row r="12">
      <c r="A12" s="5" t="s">
        <v>137</v>
      </c>
      <c r="B12" s="3" t="s">
        <v>53</v>
      </c>
      <c r="C12" s="2" t="str">
        <f t="shared" si="1"/>
        <v>BRITANNIA.NS</v>
      </c>
    </row>
    <row r="13">
      <c r="A13" s="5" t="s">
        <v>165</v>
      </c>
      <c r="B13" s="3" t="s">
        <v>53</v>
      </c>
      <c r="C13" s="2" t="str">
        <f t="shared" si="1"/>
        <v>CIPLA.NS</v>
      </c>
    </row>
    <row r="14">
      <c r="A14" s="5" t="s">
        <v>168</v>
      </c>
      <c r="B14" s="3" t="s">
        <v>53</v>
      </c>
      <c r="C14" s="2" t="str">
        <f t="shared" si="1"/>
        <v>COALINDIA.NS</v>
      </c>
    </row>
    <row r="15">
      <c r="A15" s="5" t="s">
        <v>191</v>
      </c>
      <c r="B15" s="3" t="s">
        <v>53</v>
      </c>
      <c r="C15" s="2" t="str">
        <f t="shared" si="1"/>
        <v>DIVISLAB.NS</v>
      </c>
    </row>
    <row r="16">
      <c r="A16" s="5" t="s">
        <v>194</v>
      </c>
      <c r="B16" s="3" t="s">
        <v>53</v>
      </c>
      <c r="C16" s="2" t="str">
        <f t="shared" si="1"/>
        <v>DRREDDY.NS</v>
      </c>
    </row>
    <row r="17">
      <c r="A17" s="5" t="s">
        <v>200</v>
      </c>
      <c r="B17" s="3" t="s">
        <v>53</v>
      </c>
      <c r="C17" s="2" t="str">
        <f t="shared" si="1"/>
        <v>EICHERMOT.NS</v>
      </c>
    </row>
    <row r="18">
      <c r="A18" s="5" t="s">
        <v>238</v>
      </c>
      <c r="B18" s="3" t="s">
        <v>53</v>
      </c>
      <c r="C18" s="2" t="str">
        <f t="shared" si="1"/>
        <v>GRASIM.NS</v>
      </c>
    </row>
    <row r="19">
      <c r="A19" s="5" t="s">
        <v>251</v>
      </c>
      <c r="B19" s="3" t="s">
        <v>53</v>
      </c>
      <c r="C19" s="2" t="str">
        <f t="shared" si="1"/>
        <v>HCLTECH.NS</v>
      </c>
    </row>
    <row r="20">
      <c r="A20" s="5" t="s">
        <v>253</v>
      </c>
      <c r="B20" s="3" t="s">
        <v>53</v>
      </c>
      <c r="C20" s="2" t="str">
        <f t="shared" si="1"/>
        <v>HDFCBANK.NS</v>
      </c>
    </row>
    <row r="21">
      <c r="A21" s="5" t="s">
        <v>254</v>
      </c>
      <c r="B21" s="3" t="s">
        <v>53</v>
      </c>
      <c r="C21" s="2" t="str">
        <f t="shared" si="1"/>
        <v>HDFCLIFE.NS</v>
      </c>
    </row>
    <row r="22">
      <c r="A22" s="5" t="s">
        <v>259</v>
      </c>
      <c r="B22" s="3" t="s">
        <v>53</v>
      </c>
      <c r="C22" s="2" t="str">
        <f t="shared" si="1"/>
        <v>HEROMOTOCO.NS</v>
      </c>
    </row>
    <row r="23">
      <c r="A23" s="5" t="s">
        <v>261</v>
      </c>
      <c r="B23" s="3" t="s">
        <v>53</v>
      </c>
      <c r="C23" s="2" t="str">
        <f t="shared" si="1"/>
        <v>HINDALCO.NS</v>
      </c>
    </row>
    <row r="24">
      <c r="A24" s="5" t="s">
        <v>265</v>
      </c>
      <c r="B24" s="3" t="s">
        <v>53</v>
      </c>
      <c r="C24" s="2" t="str">
        <f t="shared" si="1"/>
        <v>HINDUNILVR.NS</v>
      </c>
    </row>
    <row r="25">
      <c r="A25" s="5" t="s">
        <v>272</v>
      </c>
      <c r="B25" s="3" t="s">
        <v>53</v>
      </c>
      <c r="C25" s="2" t="str">
        <f t="shared" si="1"/>
        <v>ICICIBANK.NS</v>
      </c>
    </row>
    <row r="26">
      <c r="A26" s="5" t="s">
        <v>282</v>
      </c>
      <c r="B26" s="3" t="s">
        <v>53</v>
      </c>
      <c r="C26" s="2" t="str">
        <f t="shared" si="1"/>
        <v>ITC.NS</v>
      </c>
    </row>
    <row r="27">
      <c r="A27" s="5" t="s">
        <v>297</v>
      </c>
      <c r="B27" s="3" t="s">
        <v>53</v>
      </c>
      <c r="C27" s="2" t="str">
        <f t="shared" si="1"/>
        <v>INDUSINDBK.NS</v>
      </c>
    </row>
    <row r="28">
      <c r="A28" s="5" t="s">
        <v>299</v>
      </c>
      <c r="B28" s="3" t="s">
        <v>53</v>
      </c>
      <c r="C28" s="2" t="str">
        <f t="shared" si="1"/>
        <v>INFY.NS</v>
      </c>
    </row>
    <row r="29">
      <c r="A29" s="5" t="s">
        <v>312</v>
      </c>
      <c r="B29" s="3" t="s">
        <v>53</v>
      </c>
      <c r="C29" s="2" t="str">
        <f t="shared" si="1"/>
        <v>JSWSTEEL.NS</v>
      </c>
    </row>
    <row r="30">
      <c r="A30" s="5" t="s">
        <v>339</v>
      </c>
      <c r="B30" s="3" t="s">
        <v>53</v>
      </c>
      <c r="C30" s="2" t="str">
        <f t="shared" si="1"/>
        <v>KOTAKBANK.NS</v>
      </c>
    </row>
    <row r="31">
      <c r="A31" s="5" t="s">
        <v>344</v>
      </c>
      <c r="B31" s="3" t="s">
        <v>53</v>
      </c>
      <c r="C31" s="2" t="str">
        <f t="shared" si="1"/>
        <v>LTIM.NS</v>
      </c>
    </row>
    <row r="32">
      <c r="A32" s="5" t="s">
        <v>345</v>
      </c>
      <c r="B32" s="3" t="s">
        <v>53</v>
      </c>
      <c r="C32" s="2" t="str">
        <f t="shared" si="1"/>
        <v>LT.NS</v>
      </c>
    </row>
    <row r="33">
      <c r="A33" s="5" t="s">
        <v>361</v>
      </c>
      <c r="B33" s="3" t="s">
        <v>53</v>
      </c>
      <c r="C33" s="2" t="str">
        <f t="shared" si="1"/>
        <v>M&amp;M.NS</v>
      </c>
    </row>
    <row r="34">
      <c r="A34" s="5" t="s">
        <v>368</v>
      </c>
      <c r="B34" s="3" t="s">
        <v>53</v>
      </c>
      <c r="C34" s="2" t="str">
        <f t="shared" si="1"/>
        <v>MARUTI.NS</v>
      </c>
    </row>
    <row r="35">
      <c r="A35" s="5" t="s">
        <v>389</v>
      </c>
      <c r="B35" s="3" t="s">
        <v>53</v>
      </c>
      <c r="C35" s="2" t="str">
        <f t="shared" si="1"/>
        <v>NTPC.NS</v>
      </c>
    </row>
    <row r="36">
      <c r="A36" s="5" t="s">
        <v>393</v>
      </c>
      <c r="B36" s="3" t="s">
        <v>53</v>
      </c>
      <c r="C36" s="2" t="str">
        <f t="shared" si="1"/>
        <v>NESTLEIND.NS</v>
      </c>
    </row>
    <row r="37">
      <c r="A37" s="5" t="s">
        <v>399</v>
      </c>
      <c r="B37" s="3" t="s">
        <v>53</v>
      </c>
      <c r="C37" s="2" t="str">
        <f t="shared" si="1"/>
        <v>ONGC.NS</v>
      </c>
    </row>
    <row r="38">
      <c r="A38" s="5" t="s">
        <v>422</v>
      </c>
      <c r="B38" s="3" t="s">
        <v>53</v>
      </c>
      <c r="C38" s="2" t="str">
        <f t="shared" si="1"/>
        <v>POWERGRID.NS</v>
      </c>
    </row>
    <row r="39">
      <c r="A39" s="5" t="s">
        <v>446</v>
      </c>
      <c r="B39" s="3" t="s">
        <v>53</v>
      </c>
      <c r="C39" s="2" t="str">
        <f t="shared" si="1"/>
        <v>RELIANCE.NS</v>
      </c>
    </row>
    <row r="40">
      <c r="A40" s="5" t="s">
        <v>451</v>
      </c>
      <c r="B40" s="3" t="s">
        <v>53</v>
      </c>
      <c r="C40" s="2" t="str">
        <f t="shared" si="1"/>
        <v>SBILIFE.NS</v>
      </c>
    </row>
    <row r="41">
      <c r="A41" s="5" t="s">
        <v>464</v>
      </c>
      <c r="B41" s="3" t="s">
        <v>53</v>
      </c>
      <c r="C41" s="2" t="str">
        <f t="shared" si="1"/>
        <v>SHRIRAMFIN.NS</v>
      </c>
    </row>
    <row r="42">
      <c r="A42" s="5" t="s">
        <v>473</v>
      </c>
      <c r="B42" s="3" t="s">
        <v>53</v>
      </c>
      <c r="C42" s="2" t="str">
        <f t="shared" si="1"/>
        <v>SBIN.NS</v>
      </c>
    </row>
    <row r="43">
      <c r="A43" s="5" t="s">
        <v>479</v>
      </c>
      <c r="B43" s="3" t="s">
        <v>53</v>
      </c>
      <c r="C43" s="2" t="str">
        <f t="shared" si="1"/>
        <v>SUNPHARMA.NS</v>
      </c>
    </row>
    <row r="44">
      <c r="A44" s="5" t="s">
        <v>497</v>
      </c>
      <c r="B44" s="3" t="s">
        <v>53</v>
      </c>
      <c r="C44" s="2" t="str">
        <f t="shared" si="1"/>
        <v>TCS.NS</v>
      </c>
    </row>
    <row r="45">
      <c r="A45" s="5" t="s">
        <v>498</v>
      </c>
      <c r="B45" s="3" t="s">
        <v>53</v>
      </c>
      <c r="C45" s="2" t="str">
        <f t="shared" si="1"/>
        <v>TATACONSUM.NS</v>
      </c>
    </row>
    <row r="46">
      <c r="A46" s="5" t="s">
        <v>502</v>
      </c>
      <c r="B46" s="3" t="s">
        <v>53</v>
      </c>
      <c r="C46" s="2" t="str">
        <f t="shared" si="1"/>
        <v>TATAMOTORS.NS</v>
      </c>
    </row>
    <row r="47">
      <c r="A47" s="5" t="s">
        <v>504</v>
      </c>
      <c r="B47" s="3" t="s">
        <v>53</v>
      </c>
      <c r="C47" s="2" t="str">
        <f t="shared" si="1"/>
        <v>TATASTEEL.NS</v>
      </c>
    </row>
    <row r="48">
      <c r="A48" s="5" t="s">
        <v>507</v>
      </c>
      <c r="B48" s="3" t="s">
        <v>53</v>
      </c>
      <c r="C48" s="2" t="str">
        <f t="shared" si="1"/>
        <v>TECHM.NS</v>
      </c>
    </row>
    <row r="49">
      <c r="A49" s="5" t="s">
        <v>514</v>
      </c>
      <c r="B49" s="3" t="s">
        <v>53</v>
      </c>
      <c r="C49" s="2" t="str">
        <f t="shared" si="1"/>
        <v>TITAN.NS</v>
      </c>
    </row>
    <row r="50">
      <c r="A50" s="5" t="s">
        <v>527</v>
      </c>
      <c r="B50" s="3" t="s">
        <v>53</v>
      </c>
      <c r="C50" s="2" t="str">
        <f t="shared" si="1"/>
        <v>ULTRACEMCO.NS</v>
      </c>
    </row>
    <row r="51">
      <c r="A51" s="5" t="s">
        <v>561</v>
      </c>
      <c r="B51" s="3" t="s">
        <v>53</v>
      </c>
      <c r="C51" s="2" t="str">
        <f t="shared" si="1"/>
        <v>WIPRO.NS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2024-06-18T16:38:19Z</dcterms:created>
  <dc:creator>Nagu</dc:creator>
</cp:coreProperties>
</file>